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nastasija/Documents/Универ/Учебная практика/"/>
    </mc:Choice>
  </mc:AlternateContent>
  <xr:revisionPtr revIDLastSave="0" documentId="13_ncr:1_{49EE80FF-9DB8-3A4D-A246-539DBBD6BBE4}" xr6:coauthVersionLast="47" xr6:coauthVersionMax="47" xr10:uidLastSave="{00000000-0000-0000-0000-000000000000}"/>
  <bookViews>
    <workbookView xWindow="3860" yWindow="700" windowWidth="25140" windowHeight="17300" xr2:uid="{A555769D-2F81-8944-9D78-628EF954733C}"/>
  </bookViews>
  <sheets>
    <sheet name="Общая таблица" sheetId="3" r:id="rId1"/>
    <sheet name="Емкость предложения" sheetId="4" r:id="rId2"/>
    <sheet name="Уровень цен по категориям" sheetId="6" r:id="rId3"/>
    <sheet name="Сравнение компаний внутри катег" sheetId="7" r:id="rId4"/>
  </sheets>
  <calcPr calcId="181029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4" l="1"/>
  <c r="E7" i="6"/>
  <c r="E6" i="6"/>
  <c r="E5" i="6"/>
  <c r="E4" i="6"/>
  <c r="G11" i="4"/>
  <c r="G10" i="4"/>
  <c r="G9" i="4"/>
  <c r="G8" i="4"/>
  <c r="G7" i="4"/>
  <c r="G6" i="4"/>
  <c r="G5" i="4"/>
</calcChain>
</file>

<file path=xl/sharedStrings.xml><?xml version="1.0" encoding="utf-8"?>
<sst xmlns="http://schemas.openxmlformats.org/spreadsheetml/2006/main" count="2206" uniqueCount="787">
  <si>
    <t>Aquario</t>
  </si>
  <si>
    <t>Производитель</t>
  </si>
  <si>
    <t>Joker1-100VS</t>
  </si>
  <si>
    <t>Насосы</t>
  </si>
  <si>
    <t>2025-11-14T15:48:09.349661</t>
  </si>
  <si>
    <t>ADB-35</t>
  </si>
  <si>
    <t>ADB-40</t>
  </si>
  <si>
    <t>ADB-60</t>
  </si>
  <si>
    <t>2025-11-14T15:48:09.357663</t>
  </si>
  <si>
    <t>HMS-10-30</t>
  </si>
  <si>
    <t>HMS(T)-10-30</t>
  </si>
  <si>
    <t>HMS(T)-10-43</t>
  </si>
  <si>
    <t>APM-50</t>
  </si>
  <si>
    <t>2025-11-14T15:48:09.365663</t>
  </si>
  <si>
    <t>APM-80</t>
  </si>
  <si>
    <t>APM-100</t>
  </si>
  <si>
    <t>AJC-61C</t>
  </si>
  <si>
    <t>AJC-60С</t>
  </si>
  <si>
    <t>2025-11-14T15:48:09.373797</t>
  </si>
  <si>
    <t>AJC-81</t>
  </si>
  <si>
    <t>AJC-101B SAHARA</t>
  </si>
  <si>
    <t>AJC-125C SAHARA</t>
  </si>
  <si>
    <t>2025-11-14T15:48:09.381995</t>
  </si>
  <si>
    <t>AJS-60A</t>
  </si>
  <si>
    <t>AJS-100A</t>
  </si>
  <si>
    <t>AJS-125A</t>
  </si>
  <si>
    <t>2025-11-14T15:48:09.389998</t>
  </si>
  <si>
    <t>ADP-355</t>
  </si>
  <si>
    <t>2025-11-14T15:48:09.390190</t>
  </si>
  <si>
    <t>AMH-60-4P</t>
  </si>
  <si>
    <t>AMH-80-4P</t>
  </si>
  <si>
    <t>AMH-100-6P</t>
  </si>
  <si>
    <t>AMH-100-9P</t>
  </si>
  <si>
    <t>AMH-150-9P</t>
  </si>
  <si>
    <t>2025-11-14T15:48:09.398189</t>
  </si>
  <si>
    <t>AMH-200-9P-VIP</t>
  </si>
  <si>
    <t>AMH(T)220-10P</t>
  </si>
  <si>
    <t>AMH(T)-125-6P</t>
  </si>
  <si>
    <t>AMH(T)-180-10P</t>
  </si>
  <si>
    <t>2025-11-14T15:48:09.406327</t>
  </si>
  <si>
    <t>AUTO ADB-35-mini</t>
  </si>
  <si>
    <t>AUTO ADB-35(8L)</t>
  </si>
  <si>
    <t>AUTO ADB-35</t>
  </si>
  <si>
    <t>2025-11-14T15:48:09.414465</t>
  </si>
  <si>
    <t>AUTO AJC-60C</t>
  </si>
  <si>
    <t>AUTO AJC-61C(M)</t>
  </si>
  <si>
    <t>AUTO AJC-60C(H)</t>
  </si>
  <si>
    <t>AUTO AJS-60A(M)</t>
  </si>
  <si>
    <t>AUTO AJS-60A</t>
  </si>
  <si>
    <t>2025-11-14T15:48:09.422465</t>
  </si>
  <si>
    <t>AUTO AJS-100A(M)</t>
  </si>
  <si>
    <t>AUTO AMH-60-4P</t>
  </si>
  <si>
    <t>AUTO AMH-80-4P(M)</t>
  </si>
  <si>
    <t>AUTO AMH-80-4P</t>
  </si>
  <si>
    <t>2025-11-14T15:48:09.430630</t>
  </si>
  <si>
    <t>AJC-60C-FС</t>
  </si>
  <si>
    <t>AJC-61C-FC</t>
  </si>
  <si>
    <t>AJC-81-FС</t>
  </si>
  <si>
    <t>2025-11-14T15:48:09.438738</t>
  </si>
  <si>
    <t>AJS-100A-FС</t>
  </si>
  <si>
    <t>AJS-60A-FС</t>
  </si>
  <si>
    <t>АМН-60-4P-FС</t>
  </si>
  <si>
    <t>2025-11-14T15:48:09.446916</t>
  </si>
  <si>
    <t>AMH-80-4P-FC</t>
  </si>
  <si>
    <t>ASP1E-27-75</t>
  </si>
  <si>
    <t>ASP1E-35-75</t>
  </si>
  <si>
    <t>ASP1E-75-75</t>
  </si>
  <si>
    <t>2025-11-14T15:48:09.455034</t>
  </si>
  <si>
    <t>ASP1.5C-40-75</t>
  </si>
  <si>
    <t>ASP1.5С-60-75(P)</t>
  </si>
  <si>
    <t>ASP1.5C-60-75</t>
  </si>
  <si>
    <t>ASP2B-70-100BE</t>
  </si>
  <si>
    <t>2025-11-14T15:48:09.463054</t>
  </si>
  <si>
    <t>ASP2B-100-100BE</t>
  </si>
  <si>
    <t>ASP2B-140-100BE</t>
  </si>
  <si>
    <t>ASP(T)5B-90-100BE</t>
  </si>
  <si>
    <t>2025-11-14T15:48:09.471207</t>
  </si>
  <si>
    <t>ASP(T)5B-120-100BE</t>
  </si>
  <si>
    <t>ASP(T)5B-160-100BE</t>
  </si>
  <si>
    <t>ASP2-25-100WA</t>
  </si>
  <si>
    <t>2025-11-14T15:48:09.479378</t>
  </si>
  <si>
    <t>ASP3-35-100WA</t>
  </si>
  <si>
    <t>ASP2-40-100WA</t>
  </si>
  <si>
    <t>ASP2-25-100W-FC</t>
  </si>
  <si>
    <t>ASP3-35-100W-FC</t>
  </si>
  <si>
    <t>2025-11-14T15:48:09.487582</t>
  </si>
  <si>
    <t>FREEDIVER ASP3-22</t>
  </si>
  <si>
    <t>FREEDIVER ASP3-30</t>
  </si>
  <si>
    <t>FREEDIVER ASP3-30A</t>
  </si>
  <si>
    <t>2025-11-14T15:48:09.495585</t>
  </si>
  <si>
    <t>ADS-260-5E (mini)</t>
  </si>
  <si>
    <t>ADS-500-5E/Compact</t>
  </si>
  <si>
    <t>ADS-400-5E/Compact</t>
  </si>
  <si>
    <t>2025-11-14T15:48:09.503675</t>
  </si>
  <si>
    <t>ADS-900</t>
  </si>
  <si>
    <t>ADS-1500</t>
  </si>
  <si>
    <t>ADS-1700</t>
  </si>
  <si>
    <t>2025-11-14T15:48:09.511861</t>
  </si>
  <si>
    <t>GRINDER-100</t>
  </si>
  <si>
    <t>GRINDER-150</t>
  </si>
  <si>
    <t>GRINDER-200</t>
  </si>
  <si>
    <t>Vortex 4-7SS</t>
  </si>
  <si>
    <t>2025-11-14T15:48:09.520011</t>
  </si>
  <si>
    <t>Vortex 4-4SS</t>
  </si>
  <si>
    <t>Vortex 12-5C</t>
  </si>
  <si>
    <t>Vortex 15-8C</t>
  </si>
  <si>
    <t>Vortex 18-8C</t>
  </si>
  <si>
    <t>Vortex 30-12TC</t>
  </si>
  <si>
    <t>Vortex 35-14TC</t>
  </si>
  <si>
    <t>2025-11-14T15:48:09.528013</t>
  </si>
  <si>
    <t>AC 204-130</t>
  </si>
  <si>
    <t>AC 254-130</t>
  </si>
  <si>
    <t>AC 254-180</t>
  </si>
  <si>
    <t>AC(T) 8-8-40F</t>
  </si>
  <si>
    <t>AC(T) 8-12.5-40F</t>
  </si>
  <si>
    <t>2025-11-14T15:48:09.540930</t>
  </si>
  <si>
    <t>AC(T) 14-8-50F</t>
  </si>
  <si>
    <t>AC 206-130</t>
  </si>
  <si>
    <t>AC 256-130</t>
  </si>
  <si>
    <t>2025-11-14T15:48:09.548938</t>
  </si>
  <si>
    <t>AC 256-180</t>
  </si>
  <si>
    <t>AC 328-180</t>
  </si>
  <si>
    <t>AC 258-180</t>
  </si>
  <si>
    <t>AC 5-8-32</t>
  </si>
  <si>
    <t>2025-11-14T15:48:09.556936</t>
  </si>
  <si>
    <t>PRIME-B1-256-130</t>
  </si>
  <si>
    <t>PRIME-B1-256-180</t>
  </si>
  <si>
    <t>PRIME-B1-258-180</t>
  </si>
  <si>
    <t>2025-11-14T15:48:09.565204</t>
  </si>
  <si>
    <t>PRIME-A1-156-130</t>
  </si>
  <si>
    <t>PRIME-A1-256-130</t>
  </si>
  <si>
    <t>PRIME-A1-256-180</t>
  </si>
  <si>
    <t>PRIME-M2-5-8-32</t>
  </si>
  <si>
    <t>2025-11-14T15:48:09.573319</t>
  </si>
  <si>
    <t>PRIME-M2-5-12-32</t>
  </si>
  <si>
    <t>PRIME-M2-5-8-25</t>
  </si>
  <si>
    <t>AC 8-8-40F</t>
  </si>
  <si>
    <t>2025-11-14T15:48:09.581321</t>
  </si>
  <si>
    <t>AC 6-8-32F</t>
  </si>
  <si>
    <t>AC 8-5-40F</t>
  </si>
  <si>
    <t>AC-154-130HW</t>
  </si>
  <si>
    <t>2025-11-14T15:48:09.589480</t>
  </si>
  <si>
    <t>AC-152-130HWT</t>
  </si>
  <si>
    <t>PRIME-151.5-80HW</t>
  </si>
  <si>
    <t>AC 2512-180</t>
  </si>
  <si>
    <t>2025-11-14T15:48:09.597598</t>
  </si>
  <si>
    <t>AC159-160A</t>
  </si>
  <si>
    <t>AC1512-195A</t>
  </si>
  <si>
    <t>TEMA-400EA</t>
  </si>
  <si>
    <t>2025-11-14T15:48:09.605776</t>
  </si>
  <si>
    <t>AFP-50</t>
  </si>
  <si>
    <t>AFP-120</t>
  </si>
  <si>
    <t>Рост-Холдинг</t>
  </si>
  <si>
    <t>Дистрибьютор</t>
  </si>
  <si>
    <t>Подшипник ZARN 4075 L TV INA</t>
  </si>
  <si>
    <t>Подшипники</t>
  </si>
  <si>
    <t>2025-11-13T18:31:02.947611</t>
  </si>
  <si>
    <t>Втулка закрепительная H 320</t>
  </si>
  <si>
    <t>2025-11-13T18:31:02.963863</t>
  </si>
  <si>
    <t>Подшипник 1609 Л</t>
  </si>
  <si>
    <t>2025-11-13T18:31:02.975678</t>
  </si>
  <si>
    <t>Подшипник FAG 6315 2ZR</t>
  </si>
  <si>
    <t>2025-11-13T18:31:02.989481</t>
  </si>
  <si>
    <t>Шарикоподшипник 6019 2RSR FAG</t>
  </si>
  <si>
    <t>2025-11-13T18:31:03.002966</t>
  </si>
  <si>
    <t>Подшипник 6213 DDUC3 NSK</t>
  </si>
  <si>
    <t>2025-11-13T18:31:03.009843</t>
  </si>
  <si>
    <t xml:space="preserve">Подшипник 5-246303 Е ГПЗ 4 </t>
  </si>
  <si>
    <t>2025-11-13T18:31:03.016791</t>
  </si>
  <si>
    <t>Подшипник 292409</t>
  </si>
  <si>
    <t>2025-11-13T18:31:03.023661</t>
  </si>
  <si>
    <t>Подшипник NATA 5906 IKO</t>
  </si>
  <si>
    <t>2025-11-13T18:31:03.030604</t>
  </si>
  <si>
    <t>Подшипник 6207 C3</t>
  </si>
  <si>
    <t>2025-11-13T18:31:03.037544</t>
  </si>
  <si>
    <t>Подшипник 7214 BMP FAG</t>
  </si>
  <si>
    <t>2025-11-13T18:31:03.044491</t>
  </si>
  <si>
    <t>Подшипник NSK 6315ZZ</t>
  </si>
  <si>
    <t>2025-11-13T18:31:03.051426</t>
  </si>
  <si>
    <t>Ролик опорный PWKR 72 2RS INA</t>
  </si>
  <si>
    <t>2025-11-13T18:31:03.058403</t>
  </si>
  <si>
    <t>Подшипник 6010-2Z-C3 FAG</t>
  </si>
  <si>
    <t>2025-11-13T18:31:03.065327</t>
  </si>
  <si>
    <t xml:space="preserve">Подшипник 246305 Е </t>
  </si>
  <si>
    <t>2025-11-13T18:31:03.072270</t>
  </si>
  <si>
    <t>Подшипник 402611</t>
  </si>
  <si>
    <t>2025-11-13T18:31:03.086328</t>
  </si>
  <si>
    <t>Корпусный подшипник 1045-1.3/4G RHR</t>
  </si>
  <si>
    <t>2025-11-13T18:31:03.093221</t>
  </si>
  <si>
    <t>Подшипник NSK 6315ZZC3</t>
  </si>
  <si>
    <t>2025-11-13T18:31:03.100232</t>
  </si>
  <si>
    <t>Подшипник шариковый радиальный 625 2RS1/C3</t>
  </si>
  <si>
    <t>2025-11-13T18:31:03.107231</t>
  </si>
  <si>
    <t>Подшипник 2314 NSK</t>
  </si>
  <si>
    <t>2025-11-13T18:31:03.114070</t>
  </si>
  <si>
    <t>СЗЭМО</t>
  </si>
  <si>
    <t>Производитель/дистрибьютор</t>
  </si>
  <si>
    <t>ЭМШ А200L4У1 45кВт 380/660В, IMB3 (1081), IP55, ЭМШ, 292кг</t>
  </si>
  <si>
    <t>Электродвигатели</t>
  </si>
  <si>
    <t>2025-11-14T16:02:26.813153</t>
  </si>
  <si>
    <t>ЭМШ А180S2У1 22кВт 380/660В, IMB35 (2081), IP55, ЭМШ, 172кг</t>
  </si>
  <si>
    <t>2025-11-14T16:02:26.821155</t>
  </si>
  <si>
    <t>ЭМШ А180S4У1 22кВт 380/660В, IMB35 (2081), IP55, ЭМШ, 170кг</t>
  </si>
  <si>
    <t>2025-11-14T16:02:26.829174</t>
  </si>
  <si>
    <t>ЭМШ А180S2У1 22кВт 380/660В, IMB3 (1081), IP55, ЭМШ, 164кг</t>
  </si>
  <si>
    <t>ЭМШ АИР180М2У1 30кВт 380/660В, IMB3 (1081), IP55, ЭМШ, 200кг</t>
  </si>
  <si>
    <t>2025-11-14T16:02:26.837395</t>
  </si>
  <si>
    <t>ЭМШ AIS90S4У1 1,1кВт 220/380В, IMB34 (2181), IP55, ЭМШ, 12кг</t>
  </si>
  <si>
    <t>2025-11-14T16:02:26.845597</t>
  </si>
  <si>
    <t>ЭМШ А180М6У1 18,5кВт 380/660В, IMB35 (2081), IP55, ЭМШ, 186кг</t>
  </si>
  <si>
    <t>2025-11-14T16:02:26.853819</t>
  </si>
  <si>
    <t>ЭМШ AIS112М-4У1 4кВт 220/380В, IMB35 (2081), IP55, ЭМШ, 29кг</t>
  </si>
  <si>
    <t>2025-11-14T16:02:26.862156</t>
  </si>
  <si>
    <t>ЭМШ А180М2У1 30кВт 380/660В, IMB3 (1081), IP55, ЭМШ, 200кг</t>
  </si>
  <si>
    <t>2025-11-14T16:02:26.870158</t>
  </si>
  <si>
    <t>ЭМШ AIS90S2У1 1,5кВт 220/380В, IMB35 (2081), IP55, ЭМШ, 14кг</t>
  </si>
  <si>
    <t>ЭМШ AIS90S2У1 1,5кВт 220/380В, IMB34 (2181), IP55, ЭМШ, 12,7кг</t>
  </si>
  <si>
    <t>2025-11-14T16:02:26.878456</t>
  </si>
  <si>
    <t>ЭМШ AIS90S4У1 1,1кВт 220/380В, IMB3 (1081), IP55, ЭМШ, 12кг</t>
  </si>
  <si>
    <t>ЭМШ AIS132S-4У1 5,5кВт 380/660В, IMB3 (1081), IP55, ЭМШ, 43кг</t>
  </si>
  <si>
    <t>2025-11-14T16:02:26.886617</t>
  </si>
  <si>
    <t>ЭМШ AIS100L-2У1 3кВт 220/380В, IMB14 (3681), IP55, ЭМШ, 24кг</t>
  </si>
  <si>
    <t>2025-11-14T16:02:26.895102</t>
  </si>
  <si>
    <t>ЭМШ А180М4У1 30кВт 380/660В, IMB3 (1081), IP55, ЭМШ, 194кг</t>
  </si>
  <si>
    <t>ЭМШ АИР112МА6У1 3кВт 220/380В, IMB3 (1081), IP55, ЭМШ, 45кг</t>
  </si>
  <si>
    <t>2025-11-14T16:02:26.903104</t>
  </si>
  <si>
    <t>ЭМШ А180М4У1 30кВт 380/660В, IMB35 (2081), IP55, ЭМШ, 202кг</t>
  </si>
  <si>
    <t>2025-11-14T16:02:26.911765</t>
  </si>
  <si>
    <t>ЭМШ AIS63М1-4У1 0,12кВт 220/380В, IMB14 (3681), IP55, ЭМШ, 4,5кг</t>
  </si>
  <si>
    <t>ЭМШ АИР160S2У1 15кВт 380/660В, IMB3 (1081), IP55, ЭМШ, 108кг</t>
  </si>
  <si>
    <t>2025-11-14T16:02:26.919943</t>
  </si>
  <si>
    <t>ЭМШ АИР100L4У1 4кВт 220/380В, IMB3 (1081), IP55, ЭМШ, 27,2кг</t>
  </si>
  <si>
    <t>2025-11-14T16:02:26.928152</t>
  </si>
  <si>
    <t>ЭМШ ВА80А6У2 0,75кВт 380В, IMB35 (2081), 1ExdbIIBT4 Gb, ЭМШ, 29кг</t>
  </si>
  <si>
    <t>2025-11-14T15:59:32.368613</t>
  </si>
  <si>
    <t>ЭМШ ВА250М4У2 90кВт 380/660В, IMB3 (1081), 1ExdllBT4 , ЭМШ, 410кг</t>
  </si>
  <si>
    <t>2025-11-14T15:59:32.384618</t>
  </si>
  <si>
    <t>ЭМШ ВА160М4У2 18,5кВт 380/660В, IMB35 (2081), 1ExdbIIBT4 Gb, ЭМШ, 178кг</t>
  </si>
  <si>
    <t>ЭМШ ВА100L6У2 2,2кВт 380В, IMB35 (2081), 1ExdbIIBT4 Gb, ЭМШ, 48,2кг</t>
  </si>
  <si>
    <t>2025-11-14T15:59:32.392821</t>
  </si>
  <si>
    <t>ЭМШ ВА100S4У2 3кВт 380В, IMB35 (2081), 1ExdbIIBT4 Gb, ЭМШ, 47кг</t>
  </si>
  <si>
    <t>2025-11-14T15:59:32.401048</t>
  </si>
  <si>
    <t>ЭМШ ВА250S2У2 75кВт 380/660В, IMB3 (1081), 1ExdbIIBT4 Gb, ЭМШ, 503кг</t>
  </si>
  <si>
    <t>2025-11-14T15:59:32.409211</t>
  </si>
  <si>
    <t>ЭМШ ВА100L4У2 4кВт 380В, IMB35 (2081), 1ExdbIIBT4 Gb, ЭМШ, 51,7кг</t>
  </si>
  <si>
    <t>2025-11-14T15:59:32.417215</t>
  </si>
  <si>
    <t>ЭМШ ВА80А2У2 1,5кВт 380В, IMB3 (1081), 1ExdbIIBT4 Gb, ЭМШ, 26кг</t>
  </si>
  <si>
    <t>2025-11-14T15:59:32.425364</t>
  </si>
  <si>
    <t>ЭМШ ВА160М4У2 18,5кВт 380/660В, IMB35 (2081), 1ExdllBT4 , ЭМШ, 170кг</t>
  </si>
  <si>
    <t>2025-11-14T15:59:32.433524</t>
  </si>
  <si>
    <t>ЭМШ ВА160М2У2 18,5кВт 380/660В, IMB3 (1081), 1ExdbIIBT4 Gb, ЭМШ, 147кг</t>
  </si>
  <si>
    <t>2025-11-14T15:59:32.441823</t>
  </si>
  <si>
    <t>ЭМШ ВА80А2У2 1,5кВт 380В, IMB35 (2081), 1ExdbIIBT4 Gb, ЭМШ, 29кг</t>
  </si>
  <si>
    <t>2025-11-14T15:59:32.458066</t>
  </si>
  <si>
    <t>ЭМШ ВА100L2У2 5,5кВт 380В, IMB3 (1081), 1ExdbIIBT4 Gb, ЭМШ, 40,6кг</t>
  </si>
  <si>
    <t>2025-11-14T15:59:32.466269</t>
  </si>
  <si>
    <t>ЭМШ ВА160М2У2 18,5кВт 380/660В, IMB3 (1081), 1ExdllBT4 , ЭМШ, 142кг</t>
  </si>
  <si>
    <t>2025-11-14T15:59:32.474456</t>
  </si>
  <si>
    <t>ЭМШ ВА225М6У2 37 кВт 380/660В, IMB35 (2081), 1ExdbIIBT4 Gb, ЭМШ, 363,5кг</t>
  </si>
  <si>
    <t>2025-11-14T15:59:32.482457</t>
  </si>
  <si>
    <t>ЭМШ ВА80А4У2 1,1кВт 380В, IMB35 (2081), 1ExdbIIBT4 Gb, ЭМШ, 29кг</t>
  </si>
  <si>
    <t>ЭМШ ВА100L2У2 5,5кВт 380В, IMB35 (2081), 1ExdllBT4 , ЭМШ, 55,5кг</t>
  </si>
  <si>
    <t>2025-11-14T15:59:32.490768</t>
  </si>
  <si>
    <t>ЭМШ ВА100L6У2 2,2кВт 380В, IMB35 (2081), 1ExdllBT4 , ЭМШ, 48кг</t>
  </si>
  <si>
    <t>2025-11-14T15:59:32.498979</t>
  </si>
  <si>
    <t>ЭМШ ВА90L6У2 1,5кВт 380В, IMB35 (2081), 1ExdllBT4 , ЭМШ, 35,2кг</t>
  </si>
  <si>
    <t>2025-11-14T15:59:32.507253</t>
  </si>
  <si>
    <t>ЭМШ ВА100S2У2 4кВт 380В, IMB35 (2081), 1ExdbIIBT4 Gb, ЭМШ, 51,4кг</t>
  </si>
  <si>
    <t>2025-11-14T15:59:32.515463</t>
  </si>
  <si>
    <t>ЭМШ ВА90L6У2 1,5кВт 380В, IMB35 (2081), 1ExdbIIBT4 Gb, ЭМШ, 37,5кг</t>
  </si>
  <si>
    <t>2025-11-14T15:59:32.523466</t>
  </si>
  <si>
    <t>Теплоприбор</t>
  </si>
  <si>
    <t>Производитель/поставщик</t>
  </si>
  <si>
    <t>Фильтр ФСНМ-10-вр/вр нержавеющий сетчатый муфтовый (резьбовой)</t>
  </si>
  <si>
    <t>Фильтры (сетчатые)</t>
  </si>
  <si>
    <t>2025-11-14T17:19:49.955610</t>
  </si>
  <si>
    <t>Фильтр ФСНМ-15-вр/вр нержавеющий сетчатый муфтовый (резьбовой)</t>
  </si>
  <si>
    <t>Фильтр ФСНМ-20-вр/вр нержавеющий сетчатый муфтовый (резьбовой)</t>
  </si>
  <si>
    <t>Фильтр ФСНМ-25-вр/вр нержавеющий сетчатый муфтовый (резьбовой)</t>
  </si>
  <si>
    <t>Фильтр ФСНМ-32-вр/вр нержавеющий сетчатый муфтовый (резьбовой)</t>
  </si>
  <si>
    <t>Фильтр ФСНМ-40-вр/вр нержавеющий сетчатый муфтовый (резьбовой)</t>
  </si>
  <si>
    <t>Фильтр ФСНМ-50-вр/вр нержавеющий сетчатый муфтовый (резьбовой)</t>
  </si>
  <si>
    <t>2025-11-14T17:19:49.971256</t>
  </si>
  <si>
    <t>Фильтр нержавеющий сетчатый ФСНФ-25 фланцевый (грязевик)</t>
  </si>
  <si>
    <t>2025-11-14T17:19:49.972825</t>
  </si>
  <si>
    <t>Фильтр нержавеющий сетчатый ФСНФ-32 фланцевый (грязевик)</t>
  </si>
  <si>
    <t>Фильтр нержавеющий сетчатый ФСНФ-40 фланцевый (грязевик)</t>
  </si>
  <si>
    <t>2025-11-14T17:19:49.979612</t>
  </si>
  <si>
    <t>Фильтр нержавеющий сетчатый ФСНФ-50 фланцевый (грязевик)</t>
  </si>
  <si>
    <t>2025-11-14T17:19:49.980773</t>
  </si>
  <si>
    <t>Фильтр нержавеющий сетчатый ФСНФ-65 фланцевый (грязевик)</t>
  </si>
  <si>
    <t>2025-11-14T17:19:49.983280</t>
  </si>
  <si>
    <t>Фильтр нержавеющий сетчатый ФСНФ-80 фланцевый (грязевик)</t>
  </si>
  <si>
    <t>Фильтр нержавеющий сетчатый ФСНФ-100 фланцевый (грязевик)</t>
  </si>
  <si>
    <t>Фильтр нержавеющий сетчатый ФСНФ-125 фланцевый (грязевик)</t>
  </si>
  <si>
    <t>2025-11-14T17:19:49.985158</t>
  </si>
  <si>
    <t>Фильтр нержавеющий сетчатый ФСНФ-150 фланцевый (грязевик)</t>
  </si>
  <si>
    <t>Фильтр нержавеющий сетчатый ФСНФ-200 фланцевый (грязевик)</t>
  </si>
  <si>
    <t>Tim-Zeissler</t>
  </si>
  <si>
    <t>Сетка для промывных фильтров TIM из нержавеющей стали 1/2"</t>
  </si>
  <si>
    <t>2025-11-14T16:31:17.668094</t>
  </si>
  <si>
    <t>Промывной сетчатый фильтр без манометра TIM - 1/2" штуцер/штуцер [стеклянный корпус]</t>
  </si>
  <si>
    <t>2025-11-14T16:31:17.677311</t>
  </si>
  <si>
    <t>Сетка для промывных фильтров TIM из нержавеющей стали 3/4"</t>
  </si>
  <si>
    <t>2025-11-14T16:31:17.678918</t>
  </si>
  <si>
    <t>Промывной сетчатый фильтр с манометром TIM - 1/2" штуцер/штуцер [стеклянный корпус]</t>
  </si>
  <si>
    <t>2025-11-14T16:31:17.682973</t>
  </si>
  <si>
    <t>Промывной сетчатый фильтр без манометра TIM - 1/2" штуцер/штуцер [латунный корпус]</t>
  </si>
  <si>
    <t>2025-11-14T16:31:17.688367</t>
  </si>
  <si>
    <t>Промывной сетчатый фильтр с манометром TIM - 1/2" штуцер/штуцер [латунный корпус]</t>
  </si>
  <si>
    <t>Сетка для промывных фильтров TIM из нержавеющей стали 1"</t>
  </si>
  <si>
    <t>2025-11-14T16:31:17.695714</t>
  </si>
  <si>
    <t>Промывной фильтр свободного вращения с манометром TIM - 1/2" штуцер/штуцер [стеклянный корпус]</t>
  </si>
  <si>
    <t>Фильтр сетчатый косой TIM - 1" гайка / гайка [100мкр] [со свтроенным мини-краном]</t>
  </si>
  <si>
    <t>2025-11-14T16:31:17.703772</t>
  </si>
  <si>
    <t>Промывной сетчатый фильтр с манометром TIM - 3/4" штуцер/штуцер [стеклянный корпус]</t>
  </si>
  <si>
    <t>Фильтр сетчатый косой TIM - 3/4" гайка / гайка [100мкр] [со свтроенным мини-краном]</t>
  </si>
  <si>
    <t>2025-11-14T16:31:17.709571</t>
  </si>
  <si>
    <t>Промывной фильтр свободного вращения с манометром TIM - 1/2" штуцер/штуцер [латунный корпус]</t>
  </si>
  <si>
    <t>Фильтр сетчатый косой TIM - 1/2" гайка / гайка [100мкр] [со свтроенным мини-краном]</t>
  </si>
  <si>
    <t>2025-11-14T16:31:17.716476</t>
  </si>
  <si>
    <t>Промывной сетчатый фильтр с редуктором давления и манометром TIM - 1/2" штуцер/штуцер [стеклянный корпус]</t>
  </si>
  <si>
    <t>2025-11-14T16:31:17.723212</t>
  </si>
  <si>
    <t>Промывной сетчатый фильтр с манометром TIM - 3/4" штуцер/штуцер [латунный корпус]</t>
  </si>
  <si>
    <t>2025-11-14T16:31:17.723344</t>
  </si>
  <si>
    <t>Промывной сетчатый фильтр с редуктором давления и манометром TIM - 1/2" штуцер/штуцер [латунный корпус]</t>
  </si>
  <si>
    <t>2025-11-14T16:31:17.730319</t>
  </si>
  <si>
    <t>Промывной сетчатый фильтр с редуктором давления и манометром TIM - 3/4" штуцер/штуцер [стеклянный корпус]</t>
  </si>
  <si>
    <t>Промывной сетчатый фильтр с манометром TIM - 1" штуцер/штуцер [стеклянный корпус]</t>
  </si>
  <si>
    <t>2025-11-14T16:31:17.737316</t>
  </si>
  <si>
    <t>Промывной фильтр TIM - 3/4" штуцер/штуцер с американками, ручная обратная промывка [стеклянный корпус]</t>
  </si>
  <si>
    <t>Промывной сетчатый фильтр с редуктором давления и манометром TIM - 3/4" штуцер/штуцер [латунный корпус]</t>
  </si>
  <si>
    <t>2025-11-14T16:31:17.744260</t>
  </si>
  <si>
    <t>Промывной сетчатый фильтр с манометром TIM - 1" штуцер/штуцер [латунный корпус]</t>
  </si>
  <si>
    <t>Промывной сетчатый фильтр с редуктором давления и манометром TIM - 1" штуцер/штуцер [стеклянный корпус]</t>
  </si>
  <si>
    <t>2025-11-14T16:31:17.751197</t>
  </si>
  <si>
    <t>Промывной сетчатый фильтр с редуктором давления и манометром TIM - 1" штуцер/штуцер [латунный корпус]</t>
  </si>
  <si>
    <t>Промывной фильтр TIM - 1" штуцер/штуцер с американками ручная обратная промывка [стеклянный корпус]</t>
  </si>
  <si>
    <t>2025-11-14T16:31:17.758059</t>
  </si>
  <si>
    <t>Русэлпром</t>
  </si>
  <si>
    <t>Электродвигатель ДАВ-315-4У3</t>
  </si>
  <si>
    <t>2025-11-14T16:14:29.562071</t>
  </si>
  <si>
    <t>Электродвигатель ДАВ-250-4У3</t>
  </si>
  <si>
    <t>2025-11-14T16:14:29.617920</t>
  </si>
  <si>
    <t>Электродвигатель ДАЗО4-450Y-8МУ1</t>
  </si>
  <si>
    <t>2025-11-14T16:14:29.631744</t>
  </si>
  <si>
    <t>Электродвигатель ДАЗО4-450YK-8МУ1</t>
  </si>
  <si>
    <t>2025-11-14T16:14:29.638644</t>
  </si>
  <si>
    <t>Электродвигатель ДАЗО4-450X-8МУ1</t>
  </si>
  <si>
    <t>2025-11-14T16:14:29.652643</t>
  </si>
  <si>
    <t>Электродвигатель ДАЗО4-450Y-6МУ1</t>
  </si>
  <si>
    <t>2025-11-14T16:14:29.659547</t>
  </si>
  <si>
    <t>Электродвигатель ДАЗО4-450X-6МУ1</t>
  </si>
  <si>
    <t>2025-11-14T16:14:29.666477</t>
  </si>
  <si>
    <t>Электродвигатель ДАЗО4-400Y-4МУ1</t>
  </si>
  <si>
    <t>2025-11-14T16:14:39.353738</t>
  </si>
  <si>
    <t>Электродвигатель ДАЗО4-400X-4МУ1</t>
  </si>
  <si>
    <t>2025-11-14T16:14:39.430247</t>
  </si>
  <si>
    <t>Электродвигатель ДАЗО4-400XK-4МУ1</t>
  </si>
  <si>
    <t>2025-11-14T16:14:39.437146</t>
  </si>
  <si>
    <t>Электродвигатель А4-450Y-8МУ3</t>
  </si>
  <si>
    <t>2025-11-14T16:14:39.443939</t>
  </si>
  <si>
    <t>Электродвигатель А4-450YK-8МУ3</t>
  </si>
  <si>
    <t>2025-11-14T16:14:39.457847</t>
  </si>
  <si>
    <t>Электродвигатель А4-450X-8МУ3</t>
  </si>
  <si>
    <t>2025-11-14T16:14:39.465021</t>
  </si>
  <si>
    <t>Электродвигатель А4-450Y-6МУ3</t>
  </si>
  <si>
    <t>2025-11-14T16:14:39.478761</t>
  </si>
  <si>
    <t>Электродвигатель А4-450Y-4МУ3</t>
  </si>
  <si>
    <t>2025-11-14T16:14:39.492684</t>
  </si>
  <si>
    <t>Электродвигатель А4-400X-4МУ3</t>
  </si>
  <si>
    <t>2025-11-14T16:14:51.006519</t>
  </si>
  <si>
    <t>Электродвигатель А4-400XK-4МУ3</t>
  </si>
  <si>
    <t>2025-11-14T16:14:51.069245</t>
  </si>
  <si>
    <t>Элком</t>
  </si>
  <si>
    <t>Электродвигатель 5АИ 80 А2 1,5/3000 IM1081</t>
  </si>
  <si>
    <t>2025-11-14T16:23:14.841366</t>
  </si>
  <si>
    <t>Электродвигатель 5АИ 80 В2 2,2/3000 IM1081</t>
  </si>
  <si>
    <t>2025-11-14T16:23:15.014260</t>
  </si>
  <si>
    <t>Электродвигатель 5АИ 80 В6 1,1/1000 IM1081</t>
  </si>
  <si>
    <t>2025-11-14T16:23:15.028222</t>
  </si>
  <si>
    <t>Электродвигатель 5АИ 90 L2 3/3000 IM1081</t>
  </si>
  <si>
    <t>2025-11-14T16:23:15.048912</t>
  </si>
  <si>
    <t>Электродвигатель 5АИ 90 L4 2,2/1500 IM1081</t>
  </si>
  <si>
    <t>2025-11-14T16:23:15.062860</t>
  </si>
  <si>
    <t>Электродвигатель 5АИ 90 L6 1,5/1000 IM1081</t>
  </si>
  <si>
    <t>2025-11-14T16:23:15.083571</t>
  </si>
  <si>
    <t>Электродвигатель 5АИ 180 М2 30/3000 IM1001</t>
  </si>
  <si>
    <t>2025-11-14T16:23:15.097504</t>
  </si>
  <si>
    <t>Электродвигатель 5АИ 200 М2 37/3000 IM1001</t>
  </si>
  <si>
    <t>2025-11-14T16:23:15.132152</t>
  </si>
  <si>
    <t>Электродвигатель 5АИ 200 М2 37/3000 IM2001</t>
  </si>
  <si>
    <t>2025-11-14T16:23:15.167035</t>
  </si>
  <si>
    <t>Электродвигатель 5АИ 315 S6 110/1000 IM1001</t>
  </si>
  <si>
    <t>2025-11-14T16:23:15.194667</t>
  </si>
  <si>
    <t>Электродвигатель 5АИ 315 М6 132/1000 IM1001</t>
  </si>
  <si>
    <t>2025-11-14T16:23:15.222417</t>
  </si>
  <si>
    <t>Электродвигатель 5АИ 355 S4 250/1500 IM1001</t>
  </si>
  <si>
    <t>2025-11-14T16:23:15.243248</t>
  </si>
  <si>
    <t>Электродвигатель 5АИ 355 S8 132/750 IM1001</t>
  </si>
  <si>
    <t>2025-11-14T16:23:15.264255</t>
  </si>
  <si>
    <t>Электродвигатель 5АИ 355 М4 315/1500 IM1001</t>
  </si>
  <si>
    <t>2025-11-14T16:23:15.277992</t>
  </si>
  <si>
    <t>Электродвигатель 5АИ 315 S2 160/3000 IM1001</t>
  </si>
  <si>
    <t>2025-11-14T16:23:15.306626</t>
  </si>
  <si>
    <t>Электродвигатель 5АИ 315 S4 160/1500 IM1001</t>
  </si>
  <si>
    <t>2025-11-14T16:23:15.334297</t>
  </si>
  <si>
    <t>Электродвигатель 5АИ 315 М4 200/1500 IM1001</t>
  </si>
  <si>
    <t>2025-11-14T16:23:15.369493</t>
  </si>
  <si>
    <t>Электродвигатель 5АИ 355 М10 110/600 IM1001</t>
  </si>
  <si>
    <t>2025-11-14T16:23:15.389819</t>
  </si>
  <si>
    <t>Электродвигатель 5АИ 355 S6 160/1000 IM1001</t>
  </si>
  <si>
    <t>2025-11-14T16:23:15.410410</t>
  </si>
  <si>
    <t>Электродвигатель 5АИ 90 L4 2,2/1500 IM2081</t>
  </si>
  <si>
    <t>2025-11-14T16:23:15.431123</t>
  </si>
  <si>
    <t>Электродвигатель 5АИ 90 L6 1,5/1000 IM2081</t>
  </si>
  <si>
    <t>2025-11-14T16:23:15.452215</t>
  </si>
  <si>
    <t>Электродвигатель 5АИ 180 М2 30/3000 IM2001</t>
  </si>
  <si>
    <t>2025-11-14T16:23:15.473353</t>
  </si>
  <si>
    <t>Электродвигатель 5АИ 200 М4 37/1500 IM1001</t>
  </si>
  <si>
    <t>2025-11-14T16:23:15.500097</t>
  </si>
  <si>
    <t>Электродвигатель 5АИ 200 М4 37/1500 IM2001</t>
  </si>
  <si>
    <t>2025-11-14T16:23:15.521609</t>
  </si>
  <si>
    <t>Электродвигатель 5АИ 225 М4 55/1500 IM1001</t>
  </si>
  <si>
    <t>2025-11-14T16:23:22.361577</t>
  </si>
  <si>
    <t>Электродвигатель 5АИ 225 М4 55/1500 IM2001</t>
  </si>
  <si>
    <t>2025-11-14T16:23:22.521018</t>
  </si>
  <si>
    <t>Электродвигатель 5АИ 100 S4 3/1500 IM3081</t>
  </si>
  <si>
    <t>2025-11-14T16:23:22.542144</t>
  </si>
  <si>
    <t>Электродвигатель 5АИ 56 А2 0,18/3000 IM1081</t>
  </si>
  <si>
    <t>2025-11-14T16:23:22.562754</t>
  </si>
  <si>
    <t>Электродвигатель 5АИ 56 А2 0,18/3000 IM2081</t>
  </si>
  <si>
    <t>2025-11-14T16:23:22.583550</t>
  </si>
  <si>
    <t>Электродвигатель 5АИ 56 А4 0,12/1500 IM1081</t>
  </si>
  <si>
    <t>2025-11-14T16:23:22.597517</t>
  </si>
  <si>
    <t>Электродвигатель 5АИ 56 А4 0,12/1500 IM2081</t>
  </si>
  <si>
    <t>2025-11-14T16:23:22.618284</t>
  </si>
  <si>
    <t>Электродвигатель 5АИ 56 В2 0,25/3000 IM1081</t>
  </si>
  <si>
    <t>2025-11-14T16:23:22.632282</t>
  </si>
  <si>
    <t>Электродвигатель 5АИ 56 В2 0,25/3000 IM2081</t>
  </si>
  <si>
    <t>2025-11-14T16:23:22.652975</t>
  </si>
  <si>
    <t>Электродвигатель 5АИ 56 В4 0,18/1500 IM2081</t>
  </si>
  <si>
    <t>2025-11-14T16:23:22.687443</t>
  </si>
  <si>
    <t>Электродвигатель 5АИ 63 А2 0,37/3000 IM1081</t>
  </si>
  <si>
    <t>2025-11-14T16:23:22.708416</t>
  </si>
  <si>
    <t>Электродвигатель 5АИ 63 А2 0,37/3000 IM2081</t>
  </si>
  <si>
    <t>2025-11-14T16:23:22.729185</t>
  </si>
  <si>
    <t>Электродвигатель 5АИ 63 А4 0,25/1500 IM1081</t>
  </si>
  <si>
    <t>2025-11-14T16:23:22.750028</t>
  </si>
  <si>
    <t>Электродвигатель 5АИ 63 А6 0,18/1000 IM1081</t>
  </si>
  <si>
    <t>2025-11-14T16:23:22.763862</t>
  </si>
  <si>
    <t>Электродвигатель 5АИ 63 А6 0,18/1000 IM2081</t>
  </si>
  <si>
    <t>2025-11-14T16:23:22.785004</t>
  </si>
  <si>
    <t>Электродвигатель 5АИ 63 В2 0,55/3000 IM1081</t>
  </si>
  <si>
    <t>2025-11-14T16:23:22.805830</t>
  </si>
  <si>
    <t>Электродвигатель 5АИ 63 В2 0,55/3000 IM2081</t>
  </si>
  <si>
    <t>2025-11-14T16:23:22.824389</t>
  </si>
  <si>
    <t>Электродвигатель 5АИ 63 В4 0,37/1500 IM1081</t>
  </si>
  <si>
    <t>2025-11-14T16:23:22.848548</t>
  </si>
  <si>
    <t>Электродвигатель 5АИ 63 В4 0,37/1500 IM2081</t>
  </si>
  <si>
    <t>2025-11-14T16:23:22.882878</t>
  </si>
  <si>
    <t>Электродвигатель 5АИ 63 В6 0,25/1000 IM2081</t>
  </si>
  <si>
    <t>2025-11-14T16:23:22.910393</t>
  </si>
  <si>
    <t>Электродвигатель 5АИ 71 А4 0,55/1500 IM1081</t>
  </si>
  <si>
    <t>2025-11-14T16:23:22.931371</t>
  </si>
  <si>
    <t>Электродвигатель 5АИ 71 А4 0,55/1500 IM2081</t>
  </si>
  <si>
    <t>2025-11-14T16:23:22.952123</t>
  </si>
  <si>
    <t>Электродвигатель 5АИ 71 В4 0,75/1500 IM1081</t>
  </si>
  <si>
    <t>2025-11-14T16:23:22.973228</t>
  </si>
  <si>
    <t>Электродвигатель 5АИ 71 В4 0,75/1500 IM2081</t>
  </si>
  <si>
    <t>2025-11-14T16:23:28.813472</t>
  </si>
  <si>
    <t>Электродвигатель 5АИ 71 В8 0,25/750 IM2081</t>
  </si>
  <si>
    <t>2025-11-14T16:23:29.014108</t>
  </si>
  <si>
    <t>Электродвигатель 5АИ 80 А2 1,5/3000 IM2081</t>
  </si>
  <si>
    <t>2025-11-14T16:23:29.027900</t>
  </si>
  <si>
    <t>Электродвигатель 5АИ 80 А4 1,1/1500 IM1081</t>
  </si>
  <si>
    <t>2025-11-14T16:23:29.048679</t>
  </si>
  <si>
    <t>Электродвигатель 5АИ 80 А4 1,1/1500 IM2081</t>
  </si>
  <si>
    <t>2025-11-14T16:23:29.069611</t>
  </si>
  <si>
    <t>Электродвигатель 5АИ 80 А6 0,75/1000 IM1081</t>
  </si>
  <si>
    <t>2025-11-14T16:23:29.090471</t>
  </si>
  <si>
    <t>Электродвигатель 5АИ 80 А6 0,75/1000 IM2081</t>
  </si>
  <si>
    <t>2025-11-14T16:23:29.125077</t>
  </si>
  <si>
    <t>Электродвигатель 5АИ 80 А8 0,37/750 IM1081</t>
  </si>
  <si>
    <t>2025-11-14T16:23:29.146004</t>
  </si>
  <si>
    <t>Электродвигатель 5АИ 80 А8 0,37/750 IM2081</t>
  </si>
  <si>
    <t>2025-11-14T16:23:29.180890</t>
  </si>
  <si>
    <t>Электродвигатель 5АИ 80 В2 2,2/3000 IM2081</t>
  </si>
  <si>
    <t>2025-11-14T16:23:29.208514</t>
  </si>
  <si>
    <t>Электродвигатель 5АИ 80 В4 1,5/1500 IM1081</t>
  </si>
  <si>
    <t>2025-11-14T16:23:29.236382</t>
  </si>
  <si>
    <t>Электродвигатель 5АИ 80 В4 1,5/1500 IM2081</t>
  </si>
  <si>
    <t>2025-11-14T16:23:29.271744</t>
  </si>
  <si>
    <t>Электродвигатель 5АИ 80 В6 1,1/1000 IM2081</t>
  </si>
  <si>
    <t>2025-11-14T16:23:29.313366</t>
  </si>
  <si>
    <t>Электродвигатель 5АИ 80 В8 0,55/750 IM1081</t>
  </si>
  <si>
    <t>2025-11-14T16:23:29.348110</t>
  </si>
  <si>
    <t>Электродвигатель 5АИ 80 В8 0,55/750 IM2081</t>
  </si>
  <si>
    <t>2025-11-14T16:23:29.382860</t>
  </si>
  <si>
    <t>Электродвигатель 5АИ 90 L2 3/3000 IM2081</t>
  </si>
  <si>
    <t>2025-11-14T16:23:29.416651</t>
  </si>
  <si>
    <t>Электродвигатель 5АИ 100 L8 1,5/750 IM1081</t>
  </si>
  <si>
    <t>2025-11-14T16:23:29.452211</t>
  </si>
  <si>
    <t>Электродвигатель 5АИ 100 L8 1,5/750 IM2081</t>
  </si>
  <si>
    <t>2025-11-14T16:23:29.486861</t>
  </si>
  <si>
    <t>Электродвигатель 5АИ 100 S2 4/3000 IM1081</t>
  </si>
  <si>
    <t>2025-11-14T16:23:29.521604</t>
  </si>
  <si>
    <t>Электродвигатель 5АИ 100 S2 4/3000 IM2081</t>
  </si>
  <si>
    <t>2025-11-14T16:23:29.556405</t>
  </si>
  <si>
    <t>Электродвигатель 5АИ 315 S8 90/750 IM1001</t>
  </si>
  <si>
    <t>2025-11-14T16:23:29.626103</t>
  </si>
  <si>
    <t>Электродвигатель 5АИ 63 А4 0,25/1500 IM2081</t>
  </si>
  <si>
    <t>2025-11-14T16:23:29.660587</t>
  </si>
  <si>
    <t>Электродвигатель 5АИ 315 М2 200/3000 IM1001</t>
  </si>
  <si>
    <t>2025-11-14T16:23:29.702280</t>
  </si>
  <si>
    <t>Электродвигатель 5АИ 315 М8 110/750 IM1001</t>
  </si>
  <si>
    <t>2025-11-14T16:23:37.300057</t>
  </si>
  <si>
    <t>Электродвигатель 5АИ 355 М6 200/1000 IM1001</t>
  </si>
  <si>
    <t>2025-11-14T16:23:37.501801</t>
  </si>
  <si>
    <t>Электродвигатель 5АИ 355 М8 160/750 IM1001</t>
  </si>
  <si>
    <t>2025-11-14T16:23:37.536502</t>
  </si>
  <si>
    <t>Электродвигатель 5АИ 100 L2 5,5/3000 IM1081</t>
  </si>
  <si>
    <t>2025-11-14T16:23:37.613273</t>
  </si>
  <si>
    <t>Электродвигатель 5АИ 160 S2 15/3000 IM1001</t>
  </si>
  <si>
    <t>2025-11-14T16:23:37.654906</t>
  </si>
  <si>
    <t>Электродвигатель 5АИ 160 S2 15/3000 IM2001</t>
  </si>
  <si>
    <t>2025-11-14T16:23:37.689443</t>
  </si>
  <si>
    <t>Электродвигатель 5АИ 180 М4 30/1500 IM1001</t>
  </si>
  <si>
    <t>2025-11-14T16:23:37.724398</t>
  </si>
  <si>
    <t>Электродвигатель 5АИ 180 М4 30/1500 IM2001</t>
  </si>
  <si>
    <t>2025-11-14T16:23:37.771615</t>
  </si>
  <si>
    <t>Электродвигатель 5АИ 100 L6 2,2/1000 IM1081</t>
  </si>
  <si>
    <t>2025-11-14T16:23:37.799305</t>
  </si>
  <si>
    <t>Электродвигатель 5АИ 100 L6 2,2/1000 IM2081</t>
  </si>
  <si>
    <t>2025-11-14T16:23:37.841972</t>
  </si>
  <si>
    <t>Электродвигатель 5АИ 71 А2 0,75/3000 IM1081</t>
  </si>
  <si>
    <t>2025-11-14T16:23:37.916276</t>
  </si>
  <si>
    <t>Электродвигатель 5АИ 71 А2 0,75/3000 IM2081</t>
  </si>
  <si>
    <t>2025-11-14T16:23:37.945105</t>
  </si>
  <si>
    <t>Электродвигатель 5АИ 71 А6 0,37/1000 IM1081</t>
  </si>
  <si>
    <t>2025-11-14T16:23:37.979518</t>
  </si>
  <si>
    <t>Электродвигатель 5АИ 71 А6 0,37/1000 IM2081</t>
  </si>
  <si>
    <t>2025-11-14T16:23:38.014356</t>
  </si>
  <si>
    <t>Электродвигатель 5АИ 71 В2 1,1/3000 IM1081</t>
  </si>
  <si>
    <t>2025-11-14T16:23:38.057346</t>
  </si>
  <si>
    <t>Электродвигатель 5АИ 71 В2 1,1/3000 IM2081</t>
  </si>
  <si>
    <t>2025-11-14T16:23:38.103769</t>
  </si>
  <si>
    <t>Электродвигатель 5АИ 112 МА6 3/1000 IM1081</t>
  </si>
  <si>
    <t>2025-11-14T16:23:38.146266</t>
  </si>
  <si>
    <t>Электродвигатель 5АИ 112 МА6 3/1000 IM2081</t>
  </si>
  <si>
    <t>2025-11-14T16:23:38.187092</t>
  </si>
  <si>
    <t>Электродвигатель 5АИ 132 М2 11/3000 IM1081</t>
  </si>
  <si>
    <t>2025-11-14T16:23:38.249563</t>
  </si>
  <si>
    <t>Электродвигатель 5АИ 132 М2 11/3000 IM2081</t>
  </si>
  <si>
    <t>2025-11-14T16:23:38.320062</t>
  </si>
  <si>
    <t>Электродвигатель 5АИ 132 М4 11/1500 IM1081</t>
  </si>
  <si>
    <t>2025-11-14T16:23:44.014530</t>
  </si>
  <si>
    <t>Электродвигатель 5АИ 132 М4 11/1500 IM2081</t>
  </si>
  <si>
    <t>2025-11-14T16:23:44.201899</t>
  </si>
  <si>
    <t>Электродвигатель 5АИ 200 L2 45/3000 IM1001</t>
  </si>
  <si>
    <t>2025-11-14T16:23:44.222851</t>
  </si>
  <si>
    <t>Электродвигатель 5АИ 200 L2 45/3000 IM2001</t>
  </si>
  <si>
    <t>2025-11-14T16:23:44.243645</t>
  </si>
  <si>
    <t>Электродвигатель 5АИ 200 L4 45/1500 IM1001</t>
  </si>
  <si>
    <t>2025-11-14T16:23:44.258732</t>
  </si>
  <si>
    <t>Электродвигатель 5АИ 200 L4 45/1500 IM2001</t>
  </si>
  <si>
    <t>2025-11-14T16:23:44.277440</t>
  </si>
  <si>
    <t>Электродвигатель 5АИ 180 М6 18,5/1000 IM1001</t>
  </si>
  <si>
    <t>2025-11-14T16:23:44.298408</t>
  </si>
  <si>
    <t>Электродвигатель 5АИ 200 L6 30/1000 IM1001</t>
  </si>
  <si>
    <t>2025-11-14T16:23:44.319303</t>
  </si>
  <si>
    <t>Электродвигатель 5АИ 200 L6 30/1000 IM2001</t>
  </si>
  <si>
    <t>2025-11-14T16:23:44.333168</t>
  </si>
  <si>
    <t>Электродвигатель 5АИ 180 М6 18,5/1000 IM2001</t>
  </si>
  <si>
    <t>2025-11-14T16:23:44.354614</t>
  </si>
  <si>
    <t>Электродвигатель 5АИ 200 L8 22/750 IM1001</t>
  </si>
  <si>
    <t>2025-11-14T16:23:44.375112</t>
  </si>
  <si>
    <t>Электродвигатель 5АИ 71 В6 0,55/1000 IM1081</t>
  </si>
  <si>
    <t>2025-11-14T16:23:44.395837</t>
  </si>
  <si>
    <t>Электродвигатель 5АИ 200 L8 22/750 IM2001</t>
  </si>
  <si>
    <t>2025-11-14T16:23:44.416499</t>
  </si>
  <si>
    <t>Электродвигатель 5АИ 200 М6 22/1000 IM1001</t>
  </si>
  <si>
    <t>2025-11-14T16:23:44.437495</t>
  </si>
  <si>
    <t>Электродвигатель 5АИ 200 М6 22/1000 IM2001</t>
  </si>
  <si>
    <t>2025-11-14T16:23:44.459133</t>
  </si>
  <si>
    <t>Электродвигатель 5АИ 200 М8 18,5/750 IM1001</t>
  </si>
  <si>
    <t>2025-11-14T16:23:44.487446</t>
  </si>
  <si>
    <t>Электродвигатель 5АИ 200 М8 18,5/750 IM2001</t>
  </si>
  <si>
    <t>2025-11-14T16:23:44.510897</t>
  </si>
  <si>
    <t>Электродвигатель 5АИ 225 М2 55/3000 IM1001</t>
  </si>
  <si>
    <t>2025-11-14T16:23:44.535516</t>
  </si>
  <si>
    <t>Электродвигатель 5АИ 225 М2 55/3000 IM2001</t>
  </si>
  <si>
    <t>2025-11-14T16:23:44.562037</t>
  </si>
  <si>
    <t>Электродвигатель 5АИ 225 М6 37/1000 IM1001</t>
  </si>
  <si>
    <t>2025-11-14T16:23:44.590166</t>
  </si>
  <si>
    <t>Электродвигатель 5АИ 225 М6 37/1000 IM2001</t>
  </si>
  <si>
    <t>2025-11-14T16:23:44.619280</t>
  </si>
  <si>
    <t>Электродвигатель 5АИ 225 М8 30/750 IM1001</t>
  </si>
  <si>
    <t>2025-11-14T16:23:44.645394</t>
  </si>
  <si>
    <t>Электродвигатель 5АИ 71 В6 0,55/1000 IM2081</t>
  </si>
  <si>
    <t>2025-11-14T16:23:44.687170</t>
  </si>
  <si>
    <t>Электродвигатель 5АИ 100 S4 3/1500 IM1081</t>
  </si>
  <si>
    <t>2025-11-14T16:23:52.341786</t>
  </si>
  <si>
    <t>Электродвигатель 5АИ 100 L2 5,5/3000 IM2081</t>
  </si>
  <si>
    <t>2025-11-14T16:23:52.619643</t>
  </si>
  <si>
    <t>Электродвигатель 5АИ 100 L4 4/1500 IM1081</t>
  </si>
  <si>
    <t>2025-11-14T16:23:52.661056</t>
  </si>
  <si>
    <t>Электродвигатель 5АИ 100 L4 4/1500 IM2081</t>
  </si>
  <si>
    <t>2025-11-14T16:23:52.681435</t>
  </si>
  <si>
    <t>Электродвигатель 5АИ 112 М4 5,5/1500 IM1081</t>
  </si>
  <si>
    <t>2025-11-14T16:23:52.716618</t>
  </si>
  <si>
    <t>Электродвигатель 5АИ 112 М4 5,5/1500 IM2081</t>
  </si>
  <si>
    <t>2025-11-14T16:23:52.736499</t>
  </si>
  <si>
    <t>Электродвигатель 5АИ 132 S6 5,5/1000 IM1081</t>
  </si>
  <si>
    <t>2025-11-14T16:23:52.757102</t>
  </si>
  <si>
    <t>Электродвигатель 5АИ 132 S6 5,5/1000 IM2081</t>
  </si>
  <si>
    <t>2025-11-14T16:23:52.770396</t>
  </si>
  <si>
    <t>Электродвигатель 5АИ 160 S4 15/1500 IM1001</t>
  </si>
  <si>
    <t>2025-11-14T16:23:52.792242</t>
  </si>
  <si>
    <t>Электродвигатель 5АИ 160 S4 15/1500 IM2001</t>
  </si>
  <si>
    <t>2025-11-14T16:23:52.808372</t>
  </si>
  <si>
    <t>Электродвигатель 5АИ 160 S6 11/1000 IM1001</t>
  </si>
  <si>
    <t>2025-11-14T16:23:52.832382</t>
  </si>
  <si>
    <t>Электродвигатель 5АИ 160 S6 11/1000 IM2001</t>
  </si>
  <si>
    <t>2025-11-14T16:23:52.848368</t>
  </si>
  <si>
    <t>Электродвигатель 5АИ 160 М2 18,5/3000 IM1001</t>
  </si>
  <si>
    <t>2025-11-14T16:23:52.872664</t>
  </si>
  <si>
    <t>Электродвигатель 5АИ 180 S2 22/3000 IM1001</t>
  </si>
  <si>
    <t>2025-11-14T16:23:52.896632</t>
  </si>
  <si>
    <t>Электродвигатель 5АИ 180 S2 22/3000 IM2001</t>
  </si>
  <si>
    <t>2025-11-14T16:23:52.917054</t>
  </si>
  <si>
    <t>Электродвигатель 5АИ 180 S4 22/1500 IM1001</t>
  </si>
  <si>
    <t>2025-11-14T16:23:52.941066</t>
  </si>
  <si>
    <t>Электродвигатель 5АИ 180 S4 22/1500 IM2001</t>
  </si>
  <si>
    <t>2025-11-14T16:23:52.965058</t>
  </si>
  <si>
    <t>Электродвигатель 5АИ 160 М2 18,5/3000 IM2001</t>
  </si>
  <si>
    <t>2025-11-14T16:24:01.056721</t>
  </si>
  <si>
    <t>Электродвигатель 5АИ 160 М4 18,5/1500 IM1001</t>
  </si>
  <si>
    <t>2025-11-14T16:24:01.235737</t>
  </si>
  <si>
    <t>Электродвигатель 5АИ 160 М6 15/1000 IM1001</t>
  </si>
  <si>
    <t>2025-11-14T16:24:01.270564</t>
  </si>
  <si>
    <t>Электродвигатель 5АИ 160 М6 15/1000 IM2001</t>
  </si>
  <si>
    <t>2025-11-14T16:24:01.291313</t>
  </si>
  <si>
    <t>Электродвигатель 5АИ 160 М8 11/750 IM1001</t>
  </si>
  <si>
    <t>2025-11-14T16:24:01.305197</t>
  </si>
  <si>
    <t>Электродвигатель 5АИ 160 М8 11/750 IM2001</t>
  </si>
  <si>
    <t>2025-11-14T16:24:01.325876</t>
  </si>
  <si>
    <t>Электродвигатель 5АИ 280 S2 110/3000 IM1001</t>
  </si>
  <si>
    <t>2025-11-14T16:24:01.339775</t>
  </si>
  <si>
    <t>Электродвигатель 5АИ 280 S8 55/750 IM1001</t>
  </si>
  <si>
    <t>2025-11-14T16:24:01.360617</t>
  </si>
  <si>
    <t>Электродвигатель 5АИ 63 В6 0,25/1000 IM1081</t>
  </si>
  <si>
    <t>2025-11-14T16:24:01.559813</t>
  </si>
  <si>
    <t>Электродвигатель 5АИ 112 МВ6 4/1000 IM1081</t>
  </si>
  <si>
    <t>2025-11-14T16:24:01.611596</t>
  </si>
  <si>
    <t>Электродвигатель 5АИ 112 МВ6 4/1000 IM2081</t>
  </si>
  <si>
    <t>2025-11-14T16:24:01.646135</t>
  </si>
  <si>
    <t>Электродвигатель 5АИ 112 МА8 2,2/750 IM1081</t>
  </si>
  <si>
    <t>2025-11-14T16:24:01.674166</t>
  </si>
  <si>
    <t>Электродвигатель 5АИ 112 МА8 2,2/750 IM2081</t>
  </si>
  <si>
    <t>2025-11-14T16:24:01.714746</t>
  </si>
  <si>
    <t>Электродвигатель 5АИ 112 МВ8 3/750 IM1081</t>
  </si>
  <si>
    <t>2025-11-14T16:24:01.750437</t>
  </si>
  <si>
    <t>Электродвигатель 5АИ 132 S8 4/750 IM1081</t>
  </si>
  <si>
    <t>2025-11-14T16:24:01.784931</t>
  </si>
  <si>
    <t>Электродвигатель 5АИ 132 S8 4/750 IM2081</t>
  </si>
  <si>
    <t>2025-11-14T16:24:01.818979</t>
  </si>
  <si>
    <t>Электродвигатель 5АИ 132 М8 5,5/750 IM1081</t>
  </si>
  <si>
    <t>2025-11-14T16:24:01.833637</t>
  </si>
  <si>
    <t>Электродвигатель 5АИ 132 М8 5,5/750 IM2081</t>
  </si>
  <si>
    <t>2025-11-14T16:24:01.861576</t>
  </si>
  <si>
    <t>Электродвигатель 5АИ 180 М8 15/750 IM1001</t>
  </si>
  <si>
    <t>2025-11-14T16:24:09.214509</t>
  </si>
  <si>
    <t>Электродвигатель 5АИ 250 М2 90/3000 IM1001</t>
  </si>
  <si>
    <t>2025-11-14T16:24:09.424354</t>
  </si>
  <si>
    <t>Электродвигатель 5АИ 250 М2 90/3000 IM2001</t>
  </si>
  <si>
    <t>2025-11-14T16:24:09.459724</t>
  </si>
  <si>
    <t>Электродвигатель 5АИ 250 М4 90/1500 IM1001</t>
  </si>
  <si>
    <t>2025-11-14T16:24:09.480577</t>
  </si>
  <si>
    <t>Электродвигатель 5АИ 250 М4 90/1500 IM2001</t>
  </si>
  <si>
    <t>2025-11-14T16:24:09.501029</t>
  </si>
  <si>
    <t>Электродвигатель 5АИ 250 S6 45/1000 IM1001</t>
  </si>
  <si>
    <t>2025-11-14T16:24:09.522097</t>
  </si>
  <si>
    <t>Электродвигатель 5АИ 250 М6 55/1000 IM1001</t>
  </si>
  <si>
    <t>2025-11-14T16:24:09.563830</t>
  </si>
  <si>
    <t>Электродвигатель 5АИ 250 М6 55/1000 IM2001</t>
  </si>
  <si>
    <t>2025-11-14T16:24:09.584778</t>
  </si>
  <si>
    <t>Электродвигатель 5АИ 250 S8 37/750 IM1001</t>
  </si>
  <si>
    <t>2025-11-14T16:24:09.605174</t>
  </si>
  <si>
    <t>Электродвигатель 5АИ 250 М8 45/750 IM2001</t>
  </si>
  <si>
    <t>2025-11-14T16:24:09.632941</t>
  </si>
  <si>
    <t>Электродвигатель 5АИ 250 М8 45/750 IM1001</t>
  </si>
  <si>
    <t>2025-11-14T16:24:09.654156</t>
  </si>
  <si>
    <t>Электродвигатель 5АИ 280 S4 110/1500 IM1001</t>
  </si>
  <si>
    <t>2025-11-14T16:24:09.670157</t>
  </si>
  <si>
    <t>Электродвигатель 5АИ 280 S6 75/1000 IM1001</t>
  </si>
  <si>
    <t>2025-11-14T16:24:09.695513</t>
  </si>
  <si>
    <t>Электродвигатель 5АИ 280 М2 132/3000 IM1001</t>
  </si>
  <si>
    <t>2025-11-14T16:24:09.751095</t>
  </si>
  <si>
    <t>Электродвигатель 5АИ 280 М4 132/1500 IM1001</t>
  </si>
  <si>
    <t>2025-11-14T16:24:09.779346</t>
  </si>
  <si>
    <t>Электродвигатель 5АИ 280 М8 75/750 IM1001</t>
  </si>
  <si>
    <t>2025-11-14T16:24:09.820122</t>
  </si>
  <si>
    <t>Электродвигатель 5АИ 112 М2 7,6/3000 IM1081</t>
  </si>
  <si>
    <t>2025-11-14T16:24:09.847302</t>
  </si>
  <si>
    <t>Электродвигатель 5АИ 112 М2 7,6/3000 IM2081</t>
  </si>
  <si>
    <t>2025-11-14T16:24:09.875084</t>
  </si>
  <si>
    <t>Электродвигатель 5АИ 280 М4 132/1500 IM2001</t>
  </si>
  <si>
    <t>2025-11-14T16:24:09.896964</t>
  </si>
  <si>
    <t>Электродвигатель 5АИ 315 М10 75/600 IM1001</t>
  </si>
  <si>
    <t>2025-11-14T16:24:09.917274</t>
  </si>
  <si>
    <t>Электродвигатель 5АИ 280 М2 132/3000 IM2001</t>
  </si>
  <si>
    <t>2025-11-14T16:24:09.938102</t>
  </si>
  <si>
    <t>Электродвигатель 5АИ 132 S4 7,6/1500 IM1081</t>
  </si>
  <si>
    <t>2025-11-14T16:24:17.236591</t>
  </si>
  <si>
    <t>Электродвигатель 5АИ 132 S4 7,6/1500 IM2081</t>
  </si>
  <si>
    <t>2025-11-14T16:24:17.401974</t>
  </si>
  <si>
    <t>Электродвигатель 5АИ 160 S8 7,6/750 IM1001</t>
  </si>
  <si>
    <t>2025-11-14T16:24:17.410075</t>
  </si>
  <si>
    <t>Электродвигатель 5АИ 132 М6 7,6/1000 IM1081</t>
  </si>
  <si>
    <t>2025-11-14T16:24:17.456951</t>
  </si>
  <si>
    <t>Электродвигатель 5АИ 132 М6 7,6/1000 IM2081</t>
  </si>
  <si>
    <t>2025-11-14T16:24:17.472447</t>
  </si>
  <si>
    <t>Электродвигатель 5АИ 250 S8 37/750 IM2001</t>
  </si>
  <si>
    <t>2025-11-14T16:24:17.488075</t>
  </si>
  <si>
    <t>Электродвигатель 5АИ 112 М2Ж 7,6/3000 IM2089</t>
  </si>
  <si>
    <t>2025-11-14T16:24:17.503699</t>
  </si>
  <si>
    <t>Электродвигатель 5АИ 80 В2Ж 2,2/3000 IM2081</t>
  </si>
  <si>
    <t>2025-11-14T16:24:17.692926</t>
  </si>
  <si>
    <t>Электродвигатель 5АИ 100 L2Ж 5,5/3000 IM2081</t>
  </si>
  <si>
    <t>2025-11-14T16:24:17.722225</t>
  </si>
  <si>
    <t>Электродвигатель 5АИ 100 S2Ж 4/3000 IM2081</t>
  </si>
  <si>
    <t>2025-11-14T16:24:17.743029</t>
  </si>
  <si>
    <t>Электродвигатель 5АИ 355 М2 315/3000 IM1001</t>
  </si>
  <si>
    <t>2025-11-14T16:24:17.812762</t>
  </si>
  <si>
    <t>Электродвигатель 5АИ 250 S2 76/3000 IM1001</t>
  </si>
  <si>
    <t>2025-11-14T16:24:17.840399</t>
  </si>
  <si>
    <t>Электродвигатель 5АИ 250 S2 76/3000 IM2001</t>
  </si>
  <si>
    <t>2025-11-14T16:24:17.868753</t>
  </si>
  <si>
    <t>Электродвигатель 5АИ 250 S4 76/1500 IM1001</t>
  </si>
  <si>
    <t>2025-11-14T16:24:17.889260</t>
  </si>
  <si>
    <t>Электродвигатель 5АИ 250 S4 76/1500 IM2001</t>
  </si>
  <si>
    <t>2025-11-14T16:24:25.355042</t>
  </si>
  <si>
    <t>Электродвигатель 5АИ 50 МА2 0,09/3000 IM1081</t>
  </si>
  <si>
    <t>2025-11-14T16:24:25.645810</t>
  </si>
  <si>
    <t>Электродвигатель 5АИ 50 МА2 0,09/3000 IM2181</t>
  </si>
  <si>
    <t>2025-11-14T16:24:25.660673</t>
  </si>
  <si>
    <t>Электродвигатель 5АИ 50 МВ2 0,12/3000 IM1081</t>
  </si>
  <si>
    <t>2025-11-14T16:24:25.681635</t>
  </si>
  <si>
    <t>Электродвигатель 5АИ 50 МВ2 0,12/3000 IM2181</t>
  </si>
  <si>
    <t>2025-11-14T16:24:25.701992</t>
  </si>
  <si>
    <t>Электродвигатель 5АИ 50 МА4 0,06/1500 IM1081</t>
  </si>
  <si>
    <t>2025-11-14T16:24:25.744016</t>
  </si>
  <si>
    <t>Электродвигатель 5АИ 50 МА4 0,06/1500 IM2081</t>
  </si>
  <si>
    <t>2025-11-14T16:24:25.763114</t>
  </si>
  <si>
    <t>Электродвигатель ESQ 63 B4-SDN- 0,18/1500 IMB35</t>
  </si>
  <si>
    <t>2025-11-14T16:24:25.799606</t>
  </si>
  <si>
    <t>Электродвигатель ESQ 71 A4-SDN- 0,25/1500 IMB35</t>
  </si>
  <si>
    <t>2025-11-14T16:24:25.820525</t>
  </si>
  <si>
    <t>Электродвигатель ESQ 71 B4-SDN- 0,37/1500 IMB35</t>
  </si>
  <si>
    <t>2025-11-14T16:24:25.841238</t>
  </si>
  <si>
    <t>Электродвигатель ESQ 80 A4-SDN- 0,55/1500 IMB35</t>
  </si>
  <si>
    <t>2025-11-14T16:24:25.861162</t>
  </si>
  <si>
    <t>Электродвигатель ESQ 80 B4-SDN- 0,75/1500 IMB35</t>
  </si>
  <si>
    <t>2025-11-14T16:24:25.875954</t>
  </si>
  <si>
    <t>Электродвигатель ESQ 90 S4-SDN- 1,1/1500 IMB35</t>
  </si>
  <si>
    <t>2025-11-14T16:24:25.896903</t>
  </si>
  <si>
    <t>Электродвигатель ESQ 100 LA4-SDN- 2,2/1500 IMB35</t>
  </si>
  <si>
    <t>2025-11-14T16:24:25.917511</t>
  </si>
  <si>
    <t>Электродвигатель ESQ 100 LB4-SDN- 3/1500 IMB35</t>
  </si>
  <si>
    <t>2025-11-14T16:24:25.938243</t>
  </si>
  <si>
    <t>Общий итог</t>
  </si>
  <si>
    <t>Цена за шт, RUB</t>
  </si>
  <si>
    <t>Дата сбора данных</t>
  </si>
  <si>
    <t>Название продукта</t>
  </si>
  <si>
    <t>Тип компании</t>
  </si>
  <si>
    <t>Категория товаров</t>
  </si>
  <si>
    <t>Емкость предложения</t>
  </si>
  <si>
    <t>Категория</t>
  </si>
  <si>
    <t>Компания</t>
  </si>
  <si>
    <t>Средняя цена за шт,  RUB</t>
  </si>
  <si>
    <t>Минимальная цена за шт,  RUB</t>
  </si>
  <si>
    <t>Максимальная цена за шт,  RUB</t>
  </si>
  <si>
    <t>Средняя цена за шт, RUB</t>
  </si>
  <si>
    <t>Уровень цен по категориям</t>
  </si>
  <si>
    <t>Сравнение компаний внутри категории</t>
  </si>
  <si>
    <t>Доля компании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</si>
</sst>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4" x14ac:knownFonts="1">
    <font>
      <sz val="12"/>
      <color theme="1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20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5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166" fontId="0" fillId="0" borderId="2" xfId="0" applyNumberFormat="1" applyFont="1" applyBorder="1"/>
    <xf numFmtId="166" fontId="0" fillId="0" borderId="4" xfId="0" applyNumberFormat="1" applyFont="1" applyBorder="1"/>
    <xf numFmtId="0" fontId="2" fillId="0" borderId="0" xfId="0" pivotButton="1" applyFont="1"/>
    <xf numFmtId="0" fontId="2" fillId="0" borderId="0" xfId="0" applyFont="1"/>
    <xf numFmtId="2" fontId="0" fillId="0" borderId="0" xfId="0" applyNumberFormat="1"/>
    <xf numFmtId="4" fontId="0" fillId="0" borderId="0" xfId="0" applyNumberFormat="1"/>
    <xf numFmtId="0" fontId="3" fillId="0" borderId="0" xfId="0" applyFont="1"/>
  </cellXfs>
  <cellStyles count="1">
    <cellStyle name="Обычный" xfId="0" builtinId="0"/>
  </cellStyles>
  <dxfs count="32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2" formatCode="0.00"/>
    </dxf>
    <dxf>
      <numFmt numFmtId="4" formatCode="#,##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4" formatCode="#,##0.00"/>
    </dxf>
    <dxf>
      <numFmt numFmtId="1" formatCode="0"/>
    </dxf>
    <dxf>
      <numFmt numFmtId="1" formatCode="0"/>
    </dxf>
    <dxf>
      <numFmt numFmtId="4" formatCode="#,##0.00"/>
    </dxf>
    <dxf>
      <numFmt numFmtId="167" formatCode="0.0"/>
    </dxf>
    <dxf>
      <font>
        <sz val="2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04"/>
        <scheme val="minor"/>
      </font>
      <numFmt numFmtId="166" formatCode="[$-F400]h:mm:ss\ AM/PM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04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charset val="204"/>
        <scheme val="minor"/>
      </font>
      <fill>
        <patternFill patternType="solid">
          <fgColor theme="7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04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04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04"/>
        <scheme val="minor"/>
      </font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border outline="0">
        <right style="thin">
          <color theme="7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[price_analysis.xlsx]Емкость предложения!Сводная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="1"/>
              <a:t>Емкость предложения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'Емкость предложения'!$B$3:$B$4</c:f>
              <c:strCache>
                <c:ptCount val="1"/>
                <c:pt idx="0">
                  <c:v>Насосы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'Емкость предложения'!$A$5:$A$12</c:f>
              <c:strCache>
                <c:ptCount val="7"/>
                <c:pt idx="0">
                  <c:v>Рост-Холдинг</c:v>
                </c:pt>
                <c:pt idx="1">
                  <c:v>Русэлпром</c:v>
                </c:pt>
                <c:pt idx="2">
                  <c:v>СЗЭМО</c:v>
                </c:pt>
                <c:pt idx="3">
                  <c:v>Теплоприбор</c:v>
                </c:pt>
                <c:pt idx="4">
                  <c:v>Элком</c:v>
                </c:pt>
                <c:pt idx="5">
                  <c:v>Aquario</c:v>
                </c:pt>
                <c:pt idx="6">
                  <c:v>Tim-Zeissler</c:v>
                </c:pt>
              </c:strCache>
            </c:strRef>
          </c:cat>
          <c:val>
            <c:numRef>
              <c:f>'Емкость предложения'!$B$5:$B$12</c:f>
              <c:numCache>
                <c:formatCode>General</c:formatCode>
                <c:ptCount val="7"/>
                <c:pt idx="5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5-F841-B316-5BA644BB5CCA}"/>
            </c:ext>
          </c:extLst>
        </c:ser>
        <c:ser>
          <c:idx val="1"/>
          <c:order val="1"/>
          <c:tx>
            <c:strRef>
              <c:f>'Емкость предложения'!$C$3:$C$4</c:f>
              <c:strCache>
                <c:ptCount val="1"/>
                <c:pt idx="0">
                  <c:v>Подшипники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'Емкость предложения'!$A$5:$A$12</c:f>
              <c:strCache>
                <c:ptCount val="7"/>
                <c:pt idx="0">
                  <c:v>Рост-Холдинг</c:v>
                </c:pt>
                <c:pt idx="1">
                  <c:v>Русэлпром</c:v>
                </c:pt>
                <c:pt idx="2">
                  <c:v>СЗЭМО</c:v>
                </c:pt>
                <c:pt idx="3">
                  <c:v>Теплоприбор</c:v>
                </c:pt>
                <c:pt idx="4">
                  <c:v>Элком</c:v>
                </c:pt>
                <c:pt idx="5">
                  <c:v>Aquario</c:v>
                </c:pt>
                <c:pt idx="6">
                  <c:v>Tim-Zeissler</c:v>
                </c:pt>
              </c:strCache>
            </c:strRef>
          </c:cat>
          <c:val>
            <c:numRef>
              <c:f>'Емкость предложения'!$C$5:$C$12</c:f>
              <c:numCache>
                <c:formatCode>General</c:formatCode>
                <c:ptCount val="7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75-F841-B316-5BA644BB5CCA}"/>
            </c:ext>
          </c:extLst>
        </c:ser>
        <c:ser>
          <c:idx val="2"/>
          <c:order val="2"/>
          <c:tx>
            <c:strRef>
              <c:f>'Емкость предложения'!$D$3:$D$4</c:f>
              <c:strCache>
                <c:ptCount val="1"/>
                <c:pt idx="0">
                  <c:v>Фильтры (сетчатые)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'Емкость предложения'!$A$5:$A$12</c:f>
              <c:strCache>
                <c:ptCount val="7"/>
                <c:pt idx="0">
                  <c:v>Рост-Холдинг</c:v>
                </c:pt>
                <c:pt idx="1">
                  <c:v>Русэлпром</c:v>
                </c:pt>
                <c:pt idx="2">
                  <c:v>СЗЭМО</c:v>
                </c:pt>
                <c:pt idx="3">
                  <c:v>Теплоприбор</c:v>
                </c:pt>
                <c:pt idx="4">
                  <c:v>Элком</c:v>
                </c:pt>
                <c:pt idx="5">
                  <c:v>Aquario</c:v>
                </c:pt>
                <c:pt idx="6">
                  <c:v>Tim-Zeissler</c:v>
                </c:pt>
              </c:strCache>
            </c:strRef>
          </c:cat>
          <c:val>
            <c:numRef>
              <c:f>'Емкость предложения'!$D$5:$D$12</c:f>
              <c:numCache>
                <c:formatCode>General</c:formatCode>
                <c:ptCount val="7"/>
                <c:pt idx="3">
                  <c:v>17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75-F841-B316-5BA644BB5CCA}"/>
            </c:ext>
          </c:extLst>
        </c:ser>
        <c:ser>
          <c:idx val="3"/>
          <c:order val="3"/>
          <c:tx>
            <c:strRef>
              <c:f>'Емкость предложения'!$E$3:$E$4</c:f>
              <c:strCache>
                <c:ptCount val="1"/>
                <c:pt idx="0">
                  <c:v>Электродвигатели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'Емкость предложения'!$A$5:$A$12</c:f>
              <c:strCache>
                <c:ptCount val="7"/>
                <c:pt idx="0">
                  <c:v>Рост-Холдинг</c:v>
                </c:pt>
                <c:pt idx="1">
                  <c:v>Русэлпром</c:v>
                </c:pt>
                <c:pt idx="2">
                  <c:v>СЗЭМО</c:v>
                </c:pt>
                <c:pt idx="3">
                  <c:v>Теплоприбор</c:v>
                </c:pt>
                <c:pt idx="4">
                  <c:v>Элком</c:v>
                </c:pt>
                <c:pt idx="5">
                  <c:v>Aquario</c:v>
                </c:pt>
                <c:pt idx="6">
                  <c:v>Tim-Zeissler</c:v>
                </c:pt>
              </c:strCache>
            </c:strRef>
          </c:cat>
          <c:val>
            <c:numRef>
              <c:f>'Емкость предложения'!$E$5:$E$12</c:f>
              <c:numCache>
                <c:formatCode>General</c:formatCode>
                <c:ptCount val="7"/>
                <c:pt idx="1">
                  <c:v>17</c:v>
                </c:pt>
                <c:pt idx="2">
                  <c:v>40</c:v>
                </c:pt>
                <c:pt idx="4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75-F841-B316-5BA644BB5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307180224"/>
        <c:axId val="307176192"/>
      </c:barChart>
      <c:catAx>
        <c:axId val="30718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7176192"/>
        <c:crosses val="autoZero"/>
        <c:auto val="1"/>
        <c:lblAlgn val="ctr"/>
        <c:lblOffset val="100"/>
        <c:noMultiLvlLbl val="0"/>
      </c:catAx>
      <c:valAx>
        <c:axId val="30717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718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="1"/>
              <a:t>Средняя цена по категориям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'Уровень цен по категориям'!$A$18:$A$21</c:f>
              <c:strCache>
                <c:ptCount val="4"/>
                <c:pt idx="0">
                  <c:v>Насосы</c:v>
                </c:pt>
                <c:pt idx="1">
                  <c:v>Подшипники</c:v>
                </c:pt>
                <c:pt idx="2">
                  <c:v>Фильтры (сетчатые)</c:v>
                </c:pt>
                <c:pt idx="3">
                  <c:v>Электродвигатели</c:v>
                </c:pt>
              </c:strCache>
            </c:strRef>
          </c:cat>
          <c:val>
            <c:numRef>
              <c:f>'Уровень цен по категориям'!$B$18:$B$21</c:f>
              <c:numCache>
                <c:formatCode>#,##0.00</c:formatCode>
                <c:ptCount val="4"/>
                <c:pt idx="0">
                  <c:v>29664.258620689656</c:v>
                </c:pt>
                <c:pt idx="1">
                  <c:v>6505.85</c:v>
                </c:pt>
                <c:pt idx="2">
                  <c:v>8978.4634146341468</c:v>
                </c:pt>
                <c:pt idx="3">
                  <c:v>261565.52917647068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2-AB46-A6FA-37F15EE66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132096"/>
        <c:axId val="261447552"/>
      </c:barChart>
      <c:catAx>
        <c:axId val="28513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1447552"/>
        <c:crosses val="autoZero"/>
        <c:auto val="1"/>
        <c:lblAlgn val="ctr"/>
        <c:lblOffset val="100"/>
        <c:noMultiLvlLbl val="0"/>
      </c:catAx>
      <c:valAx>
        <c:axId val="26144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13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14</xdr:row>
      <xdr:rowOff>44450</xdr:rowOff>
    </xdr:from>
    <xdr:to>
      <xdr:col>5</xdr:col>
      <xdr:colOff>609600</xdr:colOff>
      <xdr:row>30</xdr:row>
      <xdr:rowOff>190500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584191A-615C-EA8F-083E-461D64B2C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196850</xdr:rowOff>
    </xdr:from>
    <xdr:to>
      <xdr:col>3</xdr:col>
      <xdr:colOff>1130300</xdr:colOff>
      <xdr:row>26</xdr:row>
      <xdr:rowOff>127000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6C6D580-B967-9C99-7CA5-03ED60C07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настасия" refreshedDate="45991.641523379629" createdVersion="8" refreshedVersion="8" minRefreshableVersion="3" recordCount="432" xr:uid="{6C3EA0C5-BCCB-EA48-A340-FAE35C6D85A6}">
  <cacheSource type="worksheet">
    <worksheetSource name="Таблица2"/>
  </cacheSource>
  <cacheFields count="6">
    <cacheField name="Категория товаров" numFmtId="0">
      <sharedItems count="4">
        <s v="Насосы"/>
        <s v="Подшипники"/>
        <s v="Электродвигатели"/>
        <s v="Фильтры (сетчатые)"/>
      </sharedItems>
    </cacheField>
    <cacheField name="Название компании" numFmtId="0">
      <sharedItems count="7">
        <s v="Aquario"/>
        <s v="Рост-Холдинг"/>
        <s v="СЗЭМО"/>
        <s v="Теплоприбор"/>
        <s v="Tim-Zeissler"/>
        <s v="Русэлпром"/>
        <s v="Элком"/>
      </sharedItems>
    </cacheField>
    <cacheField name="Тип компании" numFmtId="0">
      <sharedItems/>
    </cacheField>
    <cacheField name="Название продукта" numFmtId="0">
      <sharedItems/>
    </cacheField>
    <cacheField name="Цена за шт, RUB" numFmtId="0">
      <sharedItems containsSemiMixedTypes="0" containsString="0" containsNumber="1" minValue="64" maxValue="3716100"/>
    </cacheField>
    <cacheField name="Дата сбора данных" numFmtId="166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x v="0"/>
    <s v="Производитель"/>
    <s v="Joker1-100VS"/>
    <n v="48245"/>
    <s v="2025-11-14T15:48:09.349661"/>
  </r>
  <r>
    <x v="0"/>
    <x v="0"/>
    <s v="Производитель"/>
    <s v="ADB-35"/>
    <n v="7924"/>
    <s v="2025-11-14T15:48:09.349661"/>
  </r>
  <r>
    <x v="0"/>
    <x v="0"/>
    <s v="Производитель"/>
    <s v="ADB-40"/>
    <n v="8925"/>
    <s v="2025-11-14T15:48:09.349661"/>
  </r>
  <r>
    <x v="0"/>
    <x v="0"/>
    <s v="Производитель"/>
    <s v="ADB-60"/>
    <n v="12584"/>
    <s v="2025-11-14T15:48:09.357663"/>
  </r>
  <r>
    <x v="0"/>
    <x v="0"/>
    <s v="Производитель"/>
    <s v="HMS-10-30"/>
    <n v="50133"/>
    <s v="2025-11-14T15:48:09.357663"/>
  </r>
  <r>
    <x v="0"/>
    <x v="0"/>
    <s v="Производитель"/>
    <s v="HMS(T)-10-30"/>
    <n v="45100"/>
    <s v="2025-11-14T15:48:09.357663"/>
  </r>
  <r>
    <x v="0"/>
    <x v="0"/>
    <s v="Производитель"/>
    <s v="HMS(T)-10-43"/>
    <n v="47407"/>
    <s v="2025-11-14T15:48:09.357663"/>
  </r>
  <r>
    <x v="0"/>
    <x v="0"/>
    <s v="Производитель"/>
    <s v="APM-50"/>
    <n v="11653"/>
    <s v="2025-11-14T15:48:09.365663"/>
  </r>
  <r>
    <x v="0"/>
    <x v="0"/>
    <s v="Производитель"/>
    <s v="APM-80"/>
    <n v="16613"/>
    <s v="2025-11-14T15:48:09.365663"/>
  </r>
  <r>
    <x v="0"/>
    <x v="0"/>
    <s v="Производитель"/>
    <s v="APM-100"/>
    <n v="19927"/>
    <s v="2025-11-14T15:48:09.365663"/>
  </r>
  <r>
    <x v="0"/>
    <x v="0"/>
    <s v="Производитель"/>
    <s v="AJC-61C"/>
    <n v="13891"/>
    <s v="2025-11-14T15:48:09.365663"/>
  </r>
  <r>
    <x v="0"/>
    <x v="0"/>
    <s v="Производитель"/>
    <s v="AJC-60С"/>
    <n v="13635"/>
    <s v="2025-11-14T15:48:09.373797"/>
  </r>
  <r>
    <x v="0"/>
    <x v="0"/>
    <s v="Производитель"/>
    <s v="AJC-81"/>
    <n v="16613"/>
    <s v="2025-11-14T15:48:09.373797"/>
  </r>
  <r>
    <x v="0"/>
    <x v="0"/>
    <s v="Производитель"/>
    <s v="AJC-101B SAHARA"/>
    <n v="19865"/>
    <s v="2025-11-14T15:48:09.373797"/>
  </r>
  <r>
    <x v="0"/>
    <x v="0"/>
    <s v="Производитель"/>
    <s v="AJC-125C SAHARA"/>
    <n v="21815"/>
    <s v="2025-11-14T15:48:09.381995"/>
  </r>
  <r>
    <x v="0"/>
    <x v="0"/>
    <s v="Производитель"/>
    <s v="AJS-60A"/>
    <n v="16885"/>
    <s v="2025-11-14T15:48:09.381995"/>
  </r>
  <r>
    <x v="0"/>
    <x v="0"/>
    <s v="Производитель"/>
    <s v="AJS-100A"/>
    <n v="23075"/>
    <s v="2025-11-14T15:48:09.381995"/>
  </r>
  <r>
    <x v="0"/>
    <x v="0"/>
    <s v="Производитель"/>
    <s v="AJS-125A"/>
    <n v="26640"/>
    <s v="2025-11-14T15:48:09.389998"/>
  </r>
  <r>
    <x v="0"/>
    <x v="0"/>
    <s v="Производитель"/>
    <s v="ADP-355"/>
    <n v="24493"/>
    <s v="2025-11-14T15:48:09.390190"/>
  </r>
  <r>
    <x v="0"/>
    <x v="0"/>
    <s v="Производитель"/>
    <s v="AMH-60-4P"/>
    <n v="20976"/>
    <s v="2025-11-14T15:48:09.390190"/>
  </r>
  <r>
    <x v="0"/>
    <x v="0"/>
    <s v="Производитель"/>
    <s v="AMH-80-4P"/>
    <n v="27060"/>
    <s v="2025-11-14T15:48:09.390190"/>
  </r>
  <r>
    <x v="0"/>
    <x v="0"/>
    <s v="Производитель"/>
    <s v="AMH-100-6P"/>
    <n v="28318"/>
    <s v="2025-11-14T15:48:09.390190"/>
  </r>
  <r>
    <x v="0"/>
    <x v="0"/>
    <s v="Производитель"/>
    <s v="AMH-100-9P"/>
    <n v="30416"/>
    <s v="2025-11-14T15:48:09.390190"/>
  </r>
  <r>
    <x v="0"/>
    <x v="0"/>
    <s v="Производитель"/>
    <s v="AMH-150-9P"/>
    <n v="40065"/>
    <s v="2025-11-14T15:48:09.398189"/>
  </r>
  <r>
    <x v="0"/>
    <x v="0"/>
    <s v="Производитель"/>
    <s v="AMH-200-9P-VIP"/>
    <n v="96491"/>
    <s v="2025-11-14T15:48:09.398189"/>
  </r>
  <r>
    <x v="0"/>
    <x v="0"/>
    <s v="Производитель"/>
    <s v="AMH(T)220-10P"/>
    <n v="43211"/>
    <s v="2025-11-14T15:48:09.398189"/>
  </r>
  <r>
    <x v="0"/>
    <x v="0"/>
    <s v="Производитель"/>
    <s v="AMH(T)-125-6P"/>
    <n v="31675"/>
    <s v="2025-11-14T15:48:09.398189"/>
  </r>
  <r>
    <x v="0"/>
    <x v="0"/>
    <s v="Производитель"/>
    <s v="AMH(T)-180-10P"/>
    <n v="41744"/>
    <s v="2025-11-14T15:48:09.406327"/>
  </r>
  <r>
    <x v="0"/>
    <x v="0"/>
    <s v="Производитель"/>
    <s v="AUTO ADB-35-mini"/>
    <n v="11327"/>
    <s v="2025-11-14T15:48:09.406327"/>
  </r>
  <r>
    <x v="0"/>
    <x v="0"/>
    <s v="Производитель"/>
    <s v="AUTO ADB-35(8L)"/>
    <n v="14305"/>
    <s v="2025-11-14T15:48:09.406327"/>
  </r>
  <r>
    <x v="0"/>
    <x v="0"/>
    <s v="Производитель"/>
    <s v="AUTO ADB-35"/>
    <n v="16047"/>
    <s v="2025-11-14T15:48:09.414465"/>
  </r>
  <r>
    <x v="0"/>
    <x v="0"/>
    <s v="Производитель"/>
    <s v="AUTO AJC-60C"/>
    <n v="21438"/>
    <s v="2025-11-14T15:48:09.414465"/>
  </r>
  <r>
    <x v="0"/>
    <x v="0"/>
    <s v="Производитель"/>
    <s v="AUTO AJC-61C(M)"/>
    <n v="27375"/>
    <s v="2025-11-14T15:48:09.414465"/>
  </r>
  <r>
    <x v="0"/>
    <x v="0"/>
    <s v="Производитель"/>
    <s v="AUTO AJC-60C(H)"/>
    <n v="23284"/>
    <s v="2025-11-14T15:48:09.414465"/>
  </r>
  <r>
    <x v="0"/>
    <x v="0"/>
    <s v="Производитель"/>
    <s v="AUTO AJS-60A(M)"/>
    <n v="31193"/>
    <s v="2025-11-14T15:48:09.414465"/>
  </r>
  <r>
    <x v="0"/>
    <x v="0"/>
    <s v="Производитель"/>
    <s v="AUTO AJS-60A"/>
    <n v="24898"/>
    <s v="2025-11-14T15:48:09.422465"/>
  </r>
  <r>
    <x v="0"/>
    <x v="0"/>
    <s v="Производитель"/>
    <s v="AUTO AJS-100A(M)"/>
    <n v="38135"/>
    <s v="2025-11-14T15:48:09.422465"/>
  </r>
  <r>
    <x v="0"/>
    <x v="0"/>
    <s v="Производитель"/>
    <s v="AUTO AMH-60-4P"/>
    <n v="30731"/>
    <s v="2025-11-14T15:48:09.422465"/>
  </r>
  <r>
    <x v="0"/>
    <x v="0"/>
    <s v="Производитель"/>
    <s v="AUTO AMH-80-4P(M)"/>
    <n v="44680"/>
    <s v="2025-11-14T15:48:09.422465"/>
  </r>
  <r>
    <x v="0"/>
    <x v="0"/>
    <s v="Производитель"/>
    <s v="AUTO AMH-80-4P"/>
    <n v="38387"/>
    <s v="2025-11-14T15:48:09.430630"/>
  </r>
  <r>
    <x v="0"/>
    <x v="0"/>
    <s v="Производитель"/>
    <s v="AJC-60C-FС"/>
    <n v="19718"/>
    <s v="2025-11-14T15:48:09.430630"/>
  </r>
  <r>
    <x v="0"/>
    <x v="0"/>
    <s v="Производитель"/>
    <s v="AJC-61C-FC"/>
    <n v="20033"/>
    <s v="2025-11-14T15:48:09.430630"/>
  </r>
  <r>
    <x v="0"/>
    <x v="0"/>
    <s v="Производитель"/>
    <s v="AJC-81-FС"/>
    <n v="23913"/>
    <s v="2025-11-14T15:48:09.438738"/>
  </r>
  <r>
    <x v="0"/>
    <x v="0"/>
    <s v="Производитель"/>
    <s v="AJS-100A-FС"/>
    <n v="30625"/>
    <s v="2025-11-14T15:48:09.438738"/>
  </r>
  <r>
    <x v="0"/>
    <x v="0"/>
    <s v="Производитель"/>
    <s v="AJS-60A-FС"/>
    <n v="24438"/>
    <s v="2025-11-14T15:48:09.438738"/>
  </r>
  <r>
    <x v="0"/>
    <x v="0"/>
    <s v="Производитель"/>
    <s v="АМН-60-4P-FС"/>
    <n v="29156"/>
    <s v="2025-11-14T15:48:09.446916"/>
  </r>
  <r>
    <x v="0"/>
    <x v="0"/>
    <s v="Производитель"/>
    <s v="AMH-80-4P-FC"/>
    <n v="34611"/>
    <s v="2025-11-14T15:48:09.446916"/>
  </r>
  <r>
    <x v="0"/>
    <x v="0"/>
    <s v="Производитель"/>
    <s v="ASP1E-27-75"/>
    <n v="16736"/>
    <s v="2025-11-14T15:48:09.446916"/>
  </r>
  <r>
    <x v="0"/>
    <x v="0"/>
    <s v="Производитель"/>
    <s v="ASP1E-35-75"/>
    <n v="17976"/>
    <s v="2025-11-14T15:48:09.446916"/>
  </r>
  <r>
    <x v="0"/>
    <x v="0"/>
    <s v="Производитель"/>
    <s v="ASP1E-75-75"/>
    <n v="30205"/>
    <s v="2025-11-14T15:48:09.455034"/>
  </r>
  <r>
    <x v="0"/>
    <x v="0"/>
    <s v="Производитель"/>
    <s v="ASP1.5C-40-75"/>
    <n v="32933"/>
    <s v="2025-11-14T15:48:09.455034"/>
  </r>
  <r>
    <x v="0"/>
    <x v="0"/>
    <s v="Производитель"/>
    <s v="ASP1.5С-60-75(P)"/>
    <n v="39620"/>
    <s v="2025-11-14T15:48:09.455034"/>
  </r>
  <r>
    <x v="0"/>
    <x v="0"/>
    <s v="Производитель"/>
    <s v="ASP1.5C-60-75"/>
    <n v="36949"/>
    <s v="2025-11-14T15:48:09.455034"/>
  </r>
  <r>
    <x v="0"/>
    <x v="0"/>
    <s v="Производитель"/>
    <s v="ASP2B-70-100BE"/>
    <n v="34118"/>
    <s v="2025-11-14T15:48:09.463054"/>
  </r>
  <r>
    <x v="0"/>
    <x v="0"/>
    <s v="Производитель"/>
    <s v="ASP2B-100-100BE"/>
    <n v="40380"/>
    <s v="2025-11-14T15:48:09.463054"/>
  </r>
  <r>
    <x v="0"/>
    <x v="0"/>
    <s v="Производитель"/>
    <s v="ASP2B-140-100BE"/>
    <n v="47396"/>
    <s v="2025-11-14T15:48:09.463054"/>
  </r>
  <r>
    <x v="0"/>
    <x v="0"/>
    <s v="Производитель"/>
    <s v="ASP(T)5B-90-100BE"/>
    <n v="65091"/>
    <s v="2025-11-14T15:48:09.471207"/>
  </r>
  <r>
    <x v="0"/>
    <x v="0"/>
    <s v="Производитель"/>
    <s v="ASP(T)5B-120-100BE"/>
    <n v="78136"/>
    <s v="2025-11-14T15:48:09.471207"/>
  </r>
  <r>
    <x v="0"/>
    <x v="0"/>
    <s v="Производитель"/>
    <s v="ASP(T)5B-160-100BE"/>
    <n v="90618"/>
    <s v="2025-11-14T15:48:09.471207"/>
  </r>
  <r>
    <x v="0"/>
    <x v="0"/>
    <s v="Производитель"/>
    <s v="ASP2-25-100WA"/>
    <n v="23640"/>
    <s v="2025-11-14T15:48:09.479378"/>
  </r>
  <r>
    <x v="0"/>
    <x v="0"/>
    <s v="Производитель"/>
    <s v="ASP3-35-100WA"/>
    <n v="27395"/>
    <s v="2025-11-14T15:48:09.479378"/>
  </r>
  <r>
    <x v="0"/>
    <x v="0"/>
    <s v="Производитель"/>
    <s v="ASP2-40-100WA"/>
    <n v="29156"/>
    <s v="2025-11-14T15:48:09.479378"/>
  </r>
  <r>
    <x v="0"/>
    <x v="0"/>
    <s v="Производитель"/>
    <s v="ASP2-25-100W-FC"/>
    <n v="34611"/>
    <s v="2025-11-14T15:48:09.479378"/>
  </r>
  <r>
    <x v="0"/>
    <x v="0"/>
    <s v="Производитель"/>
    <s v="ASP3-35-100W-FC"/>
    <n v="36709"/>
    <s v="2025-11-14T15:48:09.487582"/>
  </r>
  <r>
    <x v="0"/>
    <x v="0"/>
    <s v="Производитель"/>
    <s v="FREEDIVER ASP3-22"/>
    <n v="23178"/>
    <s v="2025-11-14T15:48:09.487582"/>
  </r>
  <r>
    <x v="0"/>
    <x v="0"/>
    <s v="Производитель"/>
    <s v="FREEDIVER ASP3-30"/>
    <n v="24124"/>
    <s v="2025-11-14T15:48:09.487582"/>
  </r>
  <r>
    <x v="0"/>
    <x v="0"/>
    <s v="Производитель"/>
    <s v="FREEDIVER ASP3-30A"/>
    <n v="33142"/>
    <s v="2025-11-14T15:48:09.495585"/>
  </r>
  <r>
    <x v="0"/>
    <x v="0"/>
    <s v="Производитель"/>
    <s v="ADS-260-5E (mini)"/>
    <n v="5911"/>
    <s v="2025-11-14T15:48:09.495585"/>
  </r>
  <r>
    <x v="0"/>
    <x v="0"/>
    <s v="Производитель"/>
    <s v="ADS-500-5E/Compact"/>
    <n v="8160"/>
    <s v="2025-11-14T15:48:09.495585"/>
  </r>
  <r>
    <x v="0"/>
    <x v="0"/>
    <s v="Производитель"/>
    <s v="ADS-400-5E/Compact"/>
    <n v="7531"/>
    <s v="2025-11-14T15:48:09.503675"/>
  </r>
  <r>
    <x v="0"/>
    <x v="0"/>
    <s v="Производитель"/>
    <s v="ADS-900"/>
    <n v="7340"/>
    <s v="2025-11-14T15:48:09.503675"/>
  </r>
  <r>
    <x v="0"/>
    <x v="0"/>
    <s v="Производитель"/>
    <s v="ADS-1500"/>
    <n v="8285"/>
    <s v="2025-11-14T15:48:09.503675"/>
  </r>
  <r>
    <x v="0"/>
    <x v="0"/>
    <s v="Производитель"/>
    <s v="ADS-1700"/>
    <n v="9020"/>
    <s v="2025-11-14T15:48:09.511861"/>
  </r>
  <r>
    <x v="0"/>
    <x v="0"/>
    <s v="Производитель"/>
    <s v="GRINDER-100"/>
    <n v="48455"/>
    <s v="2025-11-14T15:48:09.511861"/>
  </r>
  <r>
    <x v="0"/>
    <x v="0"/>
    <s v="Производитель"/>
    <s v="GRINDER-150"/>
    <n v="53909"/>
    <s v="2025-11-14T15:48:09.511861"/>
  </r>
  <r>
    <x v="0"/>
    <x v="0"/>
    <s v="Производитель"/>
    <s v="GRINDER-200"/>
    <n v="104022"/>
    <s v="2025-11-14T15:48:09.511861"/>
  </r>
  <r>
    <x v="0"/>
    <x v="0"/>
    <s v="Производитель"/>
    <s v="Vortex 4-7SS"/>
    <n v="27164"/>
    <s v="2025-11-14T15:48:09.520011"/>
  </r>
  <r>
    <x v="0"/>
    <x v="0"/>
    <s v="Производитель"/>
    <s v="Vortex 4-4SS"/>
    <n v="24302"/>
    <s v="2025-11-14T15:48:09.520011"/>
  </r>
  <r>
    <x v="0"/>
    <x v="0"/>
    <s v="Производитель"/>
    <s v="Vortex 12-5C"/>
    <n v="37755"/>
    <s v="2025-11-14T15:48:09.520011"/>
  </r>
  <r>
    <x v="0"/>
    <x v="0"/>
    <s v="Производитель"/>
    <s v="Vortex 15-8C"/>
    <n v="43525"/>
    <s v="2025-11-14T15:48:09.520011"/>
  </r>
  <r>
    <x v="0"/>
    <x v="0"/>
    <s v="Производитель"/>
    <s v="Vortex 18-8C"/>
    <n v="45680"/>
    <s v="2025-11-14T15:48:09.520011"/>
  </r>
  <r>
    <x v="0"/>
    <x v="0"/>
    <s v="Производитель"/>
    <s v="Vortex 30-12TC"/>
    <n v="121785"/>
    <s v="2025-11-14T15:48:09.520011"/>
  </r>
  <r>
    <x v="0"/>
    <x v="0"/>
    <s v="Производитель"/>
    <s v="Vortex 35-14TC"/>
    <n v="149082"/>
    <s v="2025-11-14T15:48:09.528013"/>
  </r>
  <r>
    <x v="0"/>
    <x v="0"/>
    <s v="Производитель"/>
    <s v="AC 204-130"/>
    <n v="6502"/>
    <s v="2025-11-14T15:48:09.528013"/>
  </r>
  <r>
    <x v="0"/>
    <x v="0"/>
    <s v="Производитель"/>
    <s v="AC 254-130"/>
    <n v="6649"/>
    <s v="2025-11-14T15:48:09.528013"/>
  </r>
  <r>
    <x v="0"/>
    <x v="0"/>
    <s v="Производитель"/>
    <s v="AC 254-180"/>
    <n v="6713"/>
    <s v="2025-11-14T15:48:09.528013"/>
  </r>
  <r>
    <x v="0"/>
    <x v="0"/>
    <s v="Производитель"/>
    <s v="AC(T) 8-8-40F"/>
    <n v="47453"/>
    <s v="2025-11-14T15:48:09.528013"/>
  </r>
  <r>
    <x v="0"/>
    <x v="0"/>
    <s v="Производитель"/>
    <s v="AC(T) 8-12.5-40F"/>
    <n v="60391"/>
    <s v="2025-11-14T15:48:09.540930"/>
  </r>
  <r>
    <x v="0"/>
    <x v="0"/>
    <s v="Производитель"/>
    <s v="AC(T) 14-8-50F"/>
    <n v="60391"/>
    <s v="2025-11-14T15:48:09.540930"/>
  </r>
  <r>
    <x v="0"/>
    <x v="0"/>
    <s v="Производитель"/>
    <s v="AC 206-130"/>
    <n v="7236"/>
    <s v="2025-11-14T15:48:09.540930"/>
  </r>
  <r>
    <x v="0"/>
    <x v="0"/>
    <s v="Производитель"/>
    <s v="AC 256-130"/>
    <n v="7489"/>
    <s v="2025-11-14T15:48:09.548938"/>
  </r>
  <r>
    <x v="0"/>
    <x v="0"/>
    <s v="Производитель"/>
    <s v="AC 256-180"/>
    <n v="7551"/>
    <s v="2025-11-14T15:48:09.548938"/>
  </r>
  <r>
    <x v="0"/>
    <x v="0"/>
    <s v="Производитель"/>
    <s v="AC 328-180"/>
    <n v="14411"/>
    <s v="2025-11-14T15:48:09.548938"/>
  </r>
  <r>
    <x v="0"/>
    <x v="0"/>
    <s v="Производитель"/>
    <s v="AC 258-180"/>
    <n v="14158"/>
    <s v="2025-11-14T15:48:09.548938"/>
  </r>
  <r>
    <x v="0"/>
    <x v="0"/>
    <s v="Производитель"/>
    <s v="AC 5-8-32"/>
    <n v="28538"/>
    <s v="2025-11-14T15:48:09.556936"/>
  </r>
  <r>
    <x v="0"/>
    <x v="0"/>
    <s v="Производитель"/>
    <s v="PRIME-B1-256-130"/>
    <n v="7636"/>
    <s v="2025-11-14T15:48:09.556936"/>
  </r>
  <r>
    <x v="0"/>
    <x v="0"/>
    <s v="Производитель"/>
    <s v="PRIME-B1-256-180"/>
    <n v="7713"/>
    <s v="2025-11-14T15:48:09.556936"/>
  </r>
  <r>
    <x v="0"/>
    <x v="0"/>
    <s v="Производитель"/>
    <s v="PRIME-B1-258-180"/>
    <n v="10100"/>
    <s v="2025-11-14T15:48:09.565204"/>
  </r>
  <r>
    <x v="0"/>
    <x v="0"/>
    <s v="Производитель"/>
    <s v="PRIME-A1-156-130"/>
    <n v="15764"/>
    <s v="2025-11-14T15:48:09.565204"/>
  </r>
  <r>
    <x v="0"/>
    <x v="0"/>
    <s v="Производитель"/>
    <s v="PRIME-A1-256-130"/>
    <n v="15931"/>
    <s v="2025-11-14T15:48:09.565204"/>
  </r>
  <r>
    <x v="0"/>
    <x v="0"/>
    <s v="Производитель"/>
    <s v="PRIME-A1-256-180"/>
    <n v="16047"/>
    <s v="2025-11-14T15:48:09.565204"/>
  </r>
  <r>
    <x v="0"/>
    <x v="0"/>
    <s v="Производитель"/>
    <s v="PRIME-M2-5-8-32"/>
    <n v="35660"/>
    <s v="2025-11-14T15:48:09.573319"/>
  </r>
  <r>
    <x v="0"/>
    <x v="0"/>
    <s v="Производитель"/>
    <s v="PRIME-M2-5-12-32"/>
    <n v="39620"/>
    <s v="2025-11-14T15:48:09.573319"/>
  </r>
  <r>
    <x v="0"/>
    <x v="0"/>
    <s v="Производитель"/>
    <s v="PRIME-M2-5-8-25"/>
    <n v="34611"/>
    <s v="2025-11-14T15:48:09.573319"/>
  </r>
  <r>
    <x v="0"/>
    <x v="0"/>
    <s v="Производитель"/>
    <s v="AC 8-8-40F"/>
    <n v="46044"/>
    <s v="2025-11-14T15:48:09.581321"/>
  </r>
  <r>
    <x v="0"/>
    <x v="0"/>
    <s v="Производитель"/>
    <s v="AC 6-8-32F"/>
    <n v="35451"/>
    <s v="2025-11-14T15:48:09.581321"/>
  </r>
  <r>
    <x v="0"/>
    <x v="0"/>
    <s v="Производитель"/>
    <s v="AC 8-5-40F"/>
    <n v="31360"/>
    <s v="2025-11-14T15:48:09.581321"/>
  </r>
  <r>
    <x v="0"/>
    <x v="0"/>
    <s v="Производитель"/>
    <s v="AC-154-130HW"/>
    <n v="7489"/>
    <s v="2025-11-14T15:48:09.589480"/>
  </r>
  <r>
    <x v="0"/>
    <x v="0"/>
    <s v="Производитель"/>
    <s v="AC-152-130HWT"/>
    <n v="11127"/>
    <s v="2025-11-14T15:48:09.589480"/>
  </r>
  <r>
    <x v="0"/>
    <x v="0"/>
    <s v="Производитель"/>
    <s v="PRIME-151.5-80HW"/>
    <n v="12900"/>
    <s v="2025-11-14T15:48:09.589480"/>
  </r>
  <r>
    <x v="0"/>
    <x v="0"/>
    <s v="Производитель"/>
    <s v="AC 2512-180"/>
    <n v="17158"/>
    <s v="2025-11-14T15:48:09.597598"/>
  </r>
  <r>
    <x v="0"/>
    <x v="0"/>
    <s v="Производитель"/>
    <s v="AC159-160A"/>
    <n v="9607"/>
    <s v="2025-11-14T15:48:09.597598"/>
  </r>
  <r>
    <x v="0"/>
    <x v="0"/>
    <s v="Производитель"/>
    <s v="AC1512-195A"/>
    <n v="15836"/>
    <s v="2025-11-14T15:48:09.597598"/>
  </r>
  <r>
    <x v="0"/>
    <x v="0"/>
    <s v="Производитель"/>
    <s v="TEMA-400EA"/>
    <n v="12165"/>
    <s v="2025-11-14T15:48:09.605776"/>
  </r>
  <r>
    <x v="0"/>
    <x v="0"/>
    <s v="Производитель"/>
    <s v="AFP-50"/>
    <n v="5265"/>
    <s v="2025-11-14T15:48:09.605776"/>
  </r>
  <r>
    <x v="0"/>
    <x v="0"/>
    <s v="Производитель"/>
    <s v="AFP-120"/>
    <n v="12376"/>
    <s v="2025-11-14T15:48:09.605776"/>
  </r>
  <r>
    <x v="1"/>
    <x v="1"/>
    <s v="Дистрибьютор"/>
    <s v="Подшипник ZARN 4075 L TV INA"/>
    <n v="21513"/>
    <s v="2025-11-13T18:31:02.947611"/>
  </r>
  <r>
    <x v="1"/>
    <x v="1"/>
    <s v="Дистрибьютор"/>
    <s v="Втулка закрепительная H 320"/>
    <n v="4838"/>
    <s v="2025-11-13T18:31:02.963863"/>
  </r>
  <r>
    <x v="1"/>
    <x v="1"/>
    <s v="Дистрибьютор"/>
    <s v="Подшипник 1609 Л"/>
    <n v="6491"/>
    <s v="2025-11-13T18:31:02.975678"/>
  </r>
  <r>
    <x v="1"/>
    <x v="1"/>
    <s v="Дистрибьютор"/>
    <s v="Подшипник FAG 6315 2ZR"/>
    <n v="7580"/>
    <s v="2025-11-13T18:31:02.989481"/>
  </r>
  <r>
    <x v="1"/>
    <x v="1"/>
    <s v="Дистрибьютор"/>
    <s v="Шарикоподшипник 6019 2RSR FAG"/>
    <n v="4999"/>
    <s v="2025-11-13T18:31:03.002966"/>
  </r>
  <r>
    <x v="1"/>
    <x v="1"/>
    <s v="Дистрибьютор"/>
    <s v="Подшипник 6213 DDUC3 NSK"/>
    <n v="3225"/>
    <s v="2025-11-13T18:31:03.009843"/>
  </r>
  <r>
    <x v="1"/>
    <x v="1"/>
    <s v="Дистрибьютор"/>
    <s v="Подшипник 5-246303 Е ГПЗ 4 "/>
    <n v="1669"/>
    <s v="2025-11-13T18:31:03.016791"/>
  </r>
  <r>
    <x v="1"/>
    <x v="1"/>
    <s v="Дистрибьютор"/>
    <s v="Подшипник 292409"/>
    <n v="1142"/>
    <s v="2025-11-13T18:31:03.023661"/>
  </r>
  <r>
    <x v="1"/>
    <x v="1"/>
    <s v="Дистрибьютор"/>
    <s v="Подшипник NATA 5906 IKO"/>
    <n v="5080"/>
    <s v="2025-11-13T18:31:03.030604"/>
  </r>
  <r>
    <x v="1"/>
    <x v="1"/>
    <s v="Дистрибьютор"/>
    <s v="Подшипник 6207 C3"/>
    <n v="968"/>
    <s v="2025-11-13T18:31:03.037544"/>
  </r>
  <r>
    <x v="1"/>
    <x v="1"/>
    <s v="Дистрибьютор"/>
    <s v="Подшипник 7214 BMP FAG"/>
    <n v="6435"/>
    <s v="2025-11-13T18:31:03.044491"/>
  </r>
  <r>
    <x v="1"/>
    <x v="1"/>
    <s v="Дистрибьютор"/>
    <s v="Подшипник NSK 6315ZZ"/>
    <n v="7418"/>
    <s v="2025-11-13T18:31:03.051426"/>
  </r>
  <r>
    <x v="1"/>
    <x v="1"/>
    <s v="Дистрибьютор"/>
    <s v="Ролик опорный PWKR 72 2RS INA"/>
    <n v="10966"/>
    <s v="2025-11-13T18:31:03.058403"/>
  </r>
  <r>
    <x v="1"/>
    <x v="1"/>
    <s v="Дистрибьютор"/>
    <s v="Подшипник 6010-2Z-C3 FAG"/>
    <n v="1185"/>
    <s v="2025-11-13T18:31:03.065327"/>
  </r>
  <r>
    <x v="1"/>
    <x v="1"/>
    <s v="Дистрибьютор"/>
    <s v="Подшипник 246305 Е "/>
    <n v="3000"/>
    <s v="2025-11-13T18:31:03.072270"/>
  </r>
  <r>
    <x v="1"/>
    <x v="1"/>
    <s v="Дистрибьютор"/>
    <s v="Подшипник 402611"/>
    <n v="1308"/>
    <s v="2025-11-13T18:31:03.086328"/>
  </r>
  <r>
    <x v="1"/>
    <x v="1"/>
    <s v="Дистрибьютор"/>
    <s v="Корпусный подшипник 1045-1.3/4G RHR"/>
    <n v="8407"/>
    <s v="2025-11-13T18:31:03.093221"/>
  </r>
  <r>
    <x v="1"/>
    <x v="1"/>
    <s v="Дистрибьютор"/>
    <s v="Подшипник NSK 6315ZZC3"/>
    <n v="9475"/>
    <s v="2025-11-13T18:31:03.100232"/>
  </r>
  <r>
    <x v="1"/>
    <x v="1"/>
    <s v="Дистрибьютор"/>
    <s v="Подшипник шариковый радиальный 625 2RS1/C3"/>
    <n v="242"/>
    <s v="2025-11-13T18:31:03.107231"/>
  </r>
  <r>
    <x v="1"/>
    <x v="1"/>
    <s v="Дистрибьютор"/>
    <s v="Подшипник 2314 NSK"/>
    <n v="24176"/>
    <s v="2025-11-13T18:31:03.114070"/>
  </r>
  <r>
    <x v="2"/>
    <x v="2"/>
    <s v="Производитель/дистрибьютор"/>
    <s v="ЭМШ А200L4У1 45кВт 380/660В, IMB3 (1081), IP55, ЭМШ, 292кг"/>
    <n v="129236.82"/>
    <s v="2025-11-14T16:02:26.813153"/>
  </r>
  <r>
    <x v="2"/>
    <x v="2"/>
    <s v="Производитель/дистрибьютор"/>
    <s v="ЭМШ А180S2У1 22кВт 380/660В, IMB35 (2081), IP55, ЭМШ, 172кг"/>
    <n v="78570.22"/>
    <s v="2025-11-14T16:02:26.821155"/>
  </r>
  <r>
    <x v="2"/>
    <x v="2"/>
    <s v="Производитель/дистрибьютор"/>
    <s v="ЭМШ А180S4У1 22кВт 380/660В, IMB35 (2081), IP55, ЭМШ, 170кг"/>
    <n v="83874.77"/>
    <s v="2025-11-14T16:02:26.829174"/>
  </r>
  <r>
    <x v="2"/>
    <x v="2"/>
    <s v="Производитель/дистрибьютор"/>
    <s v="ЭМШ А180S2У1 22кВт 380/660В, IMB3 (1081), IP55, ЭМШ, 164кг"/>
    <n v="74828.22"/>
    <s v="2025-11-14T16:02:26.829174"/>
  </r>
  <r>
    <x v="2"/>
    <x v="2"/>
    <s v="Производитель/дистрибьютор"/>
    <s v="ЭМШ АИР180М2У1 30кВт 380/660В, IMB3 (1081), IP55, ЭМШ, 200кг"/>
    <n v="53223.3"/>
    <s v="2025-11-14T16:02:26.837395"/>
  </r>
  <r>
    <x v="2"/>
    <x v="2"/>
    <s v="Производитель/дистрибьютор"/>
    <s v="ЭМШ AIS90S4У1 1,1кВт 220/380В, IMB34 (2181), IP55, ЭМШ, 12кг"/>
    <n v="6251.7"/>
    <s v="2025-11-14T16:02:26.845597"/>
  </r>
  <r>
    <x v="2"/>
    <x v="2"/>
    <s v="Производитель/дистрибьютор"/>
    <s v="ЭМШ А180М6У1 18,5кВт 380/660В, IMB35 (2081), IP55, ЭМШ, 186кг"/>
    <n v="83101.08"/>
    <s v="2025-11-14T16:02:26.853819"/>
  </r>
  <r>
    <x v="2"/>
    <x v="2"/>
    <s v="Производитель/дистрибьютор"/>
    <s v="ЭМШ AIS112М-4У1 4кВт 220/380В, IMB35 (2081), IP55, ЭМШ, 29кг"/>
    <n v="13721.5"/>
    <s v="2025-11-14T16:02:26.862156"/>
  </r>
  <r>
    <x v="2"/>
    <x v="2"/>
    <s v="Производитель/дистрибьютор"/>
    <s v="ЭМШ А180М2У1 30кВт 380/660В, IMB3 (1081), IP55, ЭМШ, 200кг"/>
    <n v="86365.28"/>
    <s v="2025-11-14T16:02:26.870158"/>
  </r>
  <r>
    <x v="2"/>
    <x v="2"/>
    <s v="Производитель/дистрибьютор"/>
    <s v="ЭМШ AIS90S2У1 1,5кВт 220/380В, IMB35 (2081), IP55, ЭМШ, 14кг"/>
    <n v="5661.5"/>
    <s v="2025-11-14T16:02:26.870158"/>
  </r>
  <r>
    <x v="2"/>
    <x v="2"/>
    <s v="Производитель/дистрибьютор"/>
    <s v="ЭМШ AIS90S2У1 1,5кВт 220/380В, IMB34 (2181), IP55, ЭМШ, 12,7кг"/>
    <n v="6347.9"/>
    <s v="2025-11-14T16:02:26.878456"/>
  </r>
  <r>
    <x v="2"/>
    <x v="2"/>
    <s v="Производитель/дистрибьютор"/>
    <s v="ЭМШ AIS90S4У1 1,1кВт 220/380В, IMB3 (1081), IP55, ЭМШ, 12кг"/>
    <n v="6216.6"/>
    <s v="2025-11-14T16:02:26.878456"/>
  </r>
  <r>
    <x v="2"/>
    <x v="2"/>
    <s v="Производитель/дистрибьютор"/>
    <s v="ЭМШ AIS132S-4У1 5,5кВт 380/660В, IMB3 (1081), IP55, ЭМШ, 43кг"/>
    <n v="17318.599999999999"/>
    <s v="2025-11-14T16:02:26.886617"/>
  </r>
  <r>
    <x v="2"/>
    <x v="2"/>
    <s v="Производитель/дистрибьютор"/>
    <s v="ЭМШ AIS100L-2У1 3кВт 220/380В, IMB14 (3681), IP55, ЭМШ, 24кг"/>
    <n v="10260.9"/>
    <s v="2025-11-14T16:02:26.895102"/>
  </r>
  <r>
    <x v="2"/>
    <x v="2"/>
    <s v="Производитель/дистрибьютор"/>
    <s v="ЭМШ А180М4У1 30кВт 380/660В, IMB3 (1081), IP55, ЭМШ, 194кг"/>
    <n v="89896.16"/>
    <s v="2025-11-14T16:02:26.895102"/>
  </r>
  <r>
    <x v="2"/>
    <x v="2"/>
    <s v="Производитель/дистрибьютор"/>
    <s v="ЭМШ АИР112МА6У1 3кВт 220/380В, IMB3 (1081), IP55, ЭМШ, 45кг"/>
    <n v="14245.4"/>
    <s v="2025-11-14T16:02:26.903104"/>
  </r>
  <r>
    <x v="2"/>
    <x v="2"/>
    <s v="Производитель/дистрибьютор"/>
    <s v="ЭМШ А180М4У1 30кВт 380/660В, IMB35 (2081), IP55, ЭМШ, 202кг"/>
    <n v="94391.73"/>
    <s v="2025-11-14T16:02:26.911765"/>
  </r>
  <r>
    <x v="2"/>
    <x v="2"/>
    <s v="Производитель/дистрибьютор"/>
    <s v="ЭМШ AIS63М1-4У1 0,12кВт 220/380В, IMB14 (3681), IP55, ЭМШ, 4,5кг"/>
    <n v="2883.4"/>
    <s v="2025-11-14T16:02:26.911765"/>
  </r>
  <r>
    <x v="2"/>
    <x v="2"/>
    <s v="Производитель/дистрибьютор"/>
    <s v="ЭМШ АИР160S2У1 15кВт 380/660В, IMB3 (1081), IP55, ЭМШ, 108кг"/>
    <n v="53976.2"/>
    <s v="2025-11-14T16:02:26.919943"/>
  </r>
  <r>
    <x v="2"/>
    <x v="2"/>
    <s v="Производитель/дистрибьютор"/>
    <s v="ЭМШ АИР100L4У1 4кВт 220/380В, IMB3 (1081), IP55, ЭМШ, 27,2кг"/>
    <n v="11139"/>
    <s v="2025-11-14T16:02:26.928152"/>
  </r>
  <r>
    <x v="2"/>
    <x v="2"/>
    <s v="Производитель/дистрибьютор"/>
    <s v="ЭМШ ВА80А6У2 0,75кВт 380В, IMB35 (2081), 1ExdbIIBT4 Gb, ЭМШ, 29кг"/>
    <n v="9839.7000000000007"/>
    <s v="2025-11-14T15:59:32.368613"/>
  </r>
  <r>
    <x v="2"/>
    <x v="2"/>
    <s v="Производитель/дистрибьютор"/>
    <s v="ЭМШ ВА250М4У2 90кВт 380/660В, IMB3 (1081), 1ExdllBT4 , ЭМШ, 410кг"/>
    <n v="217255.38"/>
    <s v="2025-11-14T15:59:32.384618"/>
  </r>
  <r>
    <x v="2"/>
    <x v="2"/>
    <s v="Производитель/дистрибьютор"/>
    <s v="ЭМШ ВА160М4У2 18,5кВт 380/660В, IMB35 (2081), 1ExdbIIBT4 Gb, ЭМШ, 178кг"/>
    <n v="59263.1"/>
    <s v="2025-11-14T15:59:32.384618"/>
  </r>
  <r>
    <x v="2"/>
    <x v="2"/>
    <s v="Производитель/дистрибьютор"/>
    <s v="ЭМШ ВА100L6У2 2,2кВт 380В, IMB35 (2081), 1ExdbIIBT4 Gb, ЭМШ, 48,2кг"/>
    <n v="19992.7"/>
    <s v="2025-11-14T15:59:32.392821"/>
  </r>
  <r>
    <x v="2"/>
    <x v="2"/>
    <s v="Производитель/дистрибьютор"/>
    <s v="ЭМШ ВА100S4У2 3кВт 380В, IMB35 (2081), 1ExdbIIBT4 Gb, ЭМШ, 47кг"/>
    <n v="19246.5"/>
    <s v="2025-11-14T15:59:32.401048"/>
  </r>
  <r>
    <x v="2"/>
    <x v="2"/>
    <s v="Производитель/дистрибьютор"/>
    <s v="ЭМШ ВА250S2У2 75кВт 380/660В, IMB3 (1081), 1ExdbIIBT4 Gb, ЭМШ, 503кг"/>
    <n v="179401.3"/>
    <s v="2025-11-14T15:59:32.409211"/>
  </r>
  <r>
    <x v="2"/>
    <x v="2"/>
    <s v="Производитель/дистрибьютор"/>
    <s v="ЭМШ ВА100L4У2 4кВт 380В, IMB35 (2081), 1ExdbIIBT4 Gb, ЭМШ, 51,7кг"/>
    <n v="18288.400000000001"/>
    <s v="2025-11-14T15:59:32.417215"/>
  </r>
  <r>
    <x v="2"/>
    <x v="2"/>
    <s v="Производитель/дистрибьютор"/>
    <s v="ЭМШ ВА80А2У2 1,5кВт 380В, IMB3 (1081), 1ExdbIIBT4 Gb, ЭМШ, 26кг"/>
    <n v="9314.5"/>
    <s v="2025-11-14T15:59:32.425364"/>
  </r>
  <r>
    <x v="2"/>
    <x v="2"/>
    <s v="Производитель/дистрибьютор"/>
    <s v="ЭМШ ВА160М4У2 18,5кВт 380/660В, IMB35 (2081), 1ExdllBT4 , ЭМШ, 170кг"/>
    <n v="94158.52"/>
    <s v="2025-11-14T15:59:32.433524"/>
  </r>
  <r>
    <x v="2"/>
    <x v="2"/>
    <s v="Производитель/дистрибьютор"/>
    <s v="ЭМШ ВА160М2У2 18,5кВт 380/660В, IMB3 (1081), 1ExdbIIBT4 Gb, ЭМШ, 147кг"/>
    <n v="61678.5"/>
    <s v="2025-11-14T15:59:32.441823"/>
  </r>
  <r>
    <x v="2"/>
    <x v="2"/>
    <s v="Производитель/дистрибьютор"/>
    <s v="ЭМШ ВА80А2У2 1,5кВт 380В, IMB35 (2081), 1ExdbIIBT4 Gb, ЭМШ, 29кг"/>
    <n v="9096.1"/>
    <s v="2025-11-14T15:59:32.458066"/>
  </r>
  <r>
    <x v="2"/>
    <x v="2"/>
    <s v="Производитель/дистрибьютор"/>
    <s v="ЭМШ ВА100L2У2 5,5кВт 380В, IMB3 (1081), 1ExdbIIBT4 Gb, ЭМШ, 40,6кг"/>
    <n v="21069.1"/>
    <s v="2025-11-14T15:59:32.466269"/>
  </r>
  <r>
    <x v="2"/>
    <x v="2"/>
    <s v="Производитель/дистрибьютор"/>
    <s v="ЭМШ ВА160М2У2 18,5кВт 380/660В, IMB3 (1081), 1ExdllBT4 , ЭМШ, 142кг"/>
    <n v="81644.740000000005"/>
    <s v="2025-11-14T15:59:32.474456"/>
  </r>
  <r>
    <x v="2"/>
    <x v="2"/>
    <s v="Производитель/дистрибьютор"/>
    <s v="ЭМШ ВА225М6У2 37 кВт 380/660В, IMB35 (2081), 1ExdbIIBT4 Gb, ЭМШ, 363,5кг"/>
    <n v="168545"/>
    <s v="2025-11-14T15:59:32.482457"/>
  </r>
  <r>
    <x v="2"/>
    <x v="2"/>
    <s v="Производитель/дистрибьютор"/>
    <s v="ЭМШ ВА80А4У2 1,1кВт 380В, IMB35 (2081), 1ExdbIIBT4 Gb, ЭМШ, 29кг"/>
    <n v="10219.299999999999"/>
    <s v="2025-11-14T15:59:32.482457"/>
  </r>
  <r>
    <x v="2"/>
    <x v="2"/>
    <s v="Производитель/дистрибьютор"/>
    <s v="ЭМШ ВА100L2У2 5,5кВт 380В, IMB35 (2081), 1ExdllBT4 , ЭМШ, 55,5кг"/>
    <n v="30959.16"/>
    <s v="2025-11-14T15:59:32.490768"/>
  </r>
  <r>
    <x v="2"/>
    <x v="2"/>
    <s v="Производитель/дистрибьютор"/>
    <s v="ЭМШ ВА100L6У2 2,2кВт 380В, IMB35 (2081), 1ExdllBT4 , ЭМШ, 48кг"/>
    <n v="27476.74"/>
    <s v="2025-11-14T15:59:32.498979"/>
  </r>
  <r>
    <x v="2"/>
    <x v="2"/>
    <s v="Производитель/дистрибьютор"/>
    <s v="ЭМШ ВА90L6У2 1,5кВт 380В, IMB35 (2081), 1ExdllBT4 , ЭМШ, 35,2кг"/>
    <n v="23218.95"/>
    <s v="2025-11-14T15:59:32.507253"/>
  </r>
  <r>
    <x v="2"/>
    <x v="2"/>
    <s v="Производитель/дистрибьютор"/>
    <s v="ЭМШ ВА100S2У2 4кВт 380В, IMB35 (2081), 1ExdbIIBT4 Gb, ЭМШ, 51,4кг"/>
    <n v="16593.2"/>
    <s v="2025-11-14T15:59:32.515463"/>
  </r>
  <r>
    <x v="2"/>
    <x v="2"/>
    <s v="Производитель/дистрибьютор"/>
    <s v="ЭМШ ВА90L6У2 1,5кВт 380В, IMB35 (2081), 1ExdbIIBT4 Gb, ЭМШ, 37,5кг"/>
    <n v="14059.5"/>
    <s v="2025-11-14T15:59:32.523466"/>
  </r>
  <r>
    <x v="3"/>
    <x v="3"/>
    <s v="Производитель/поставщик"/>
    <s v="Фильтр ФСНМ-10-вр/вр нержавеющий сетчатый муфтовый (резьбовой)"/>
    <n v="499"/>
    <s v="2025-11-14T17:19:49.955610"/>
  </r>
  <r>
    <x v="3"/>
    <x v="3"/>
    <s v="Производитель/поставщик"/>
    <s v="Фильтр ФСНМ-15-вр/вр нержавеющий сетчатый муфтовый (резьбовой)"/>
    <n v="481"/>
    <s v="2025-11-14T17:19:49.955610"/>
  </r>
  <r>
    <x v="3"/>
    <x v="3"/>
    <s v="Производитель/поставщик"/>
    <s v="Фильтр ФСНМ-20-вр/вр нержавеющий сетчатый муфтовый (резьбовой)"/>
    <n v="604"/>
    <s v="2025-11-14T17:19:49.955610"/>
  </r>
  <r>
    <x v="3"/>
    <x v="3"/>
    <s v="Производитель/поставщик"/>
    <s v="Фильтр ФСНМ-25-вр/вр нержавеющий сетчатый муфтовый (резьбовой)"/>
    <n v="2070"/>
    <s v="2025-11-14T17:19:49.955610"/>
  </r>
  <r>
    <x v="3"/>
    <x v="3"/>
    <s v="Производитель/поставщик"/>
    <s v="Фильтр ФСНМ-32-вр/вр нержавеющий сетчатый муфтовый (резьбовой)"/>
    <n v="1170"/>
    <s v="2025-11-14T17:19:49.955610"/>
  </r>
  <r>
    <x v="3"/>
    <x v="3"/>
    <s v="Производитель/поставщик"/>
    <s v="Фильтр ФСНМ-40-вр/вр нержавеющий сетчатый муфтовый (резьбовой)"/>
    <n v="2670"/>
    <s v="2025-11-14T17:19:49.955610"/>
  </r>
  <r>
    <x v="3"/>
    <x v="3"/>
    <s v="Производитель/поставщик"/>
    <s v="Фильтр ФСНМ-50-вр/вр нержавеющий сетчатый муфтовый (резьбовой)"/>
    <n v="2092"/>
    <s v="2025-11-14T17:19:49.971256"/>
  </r>
  <r>
    <x v="3"/>
    <x v="3"/>
    <s v="Производитель/поставщик"/>
    <s v="Фильтр нержавеющий сетчатый ФСНФ-25 фланцевый (грязевик)"/>
    <n v="5291"/>
    <s v="2025-11-14T17:19:49.972825"/>
  </r>
  <r>
    <x v="3"/>
    <x v="3"/>
    <s v="Производитель/поставщик"/>
    <s v="Фильтр нержавеющий сетчатый ФСНФ-32 фланцевый (грязевик)"/>
    <n v="6210"/>
    <s v="2025-11-14T17:19:49.972825"/>
  </r>
  <r>
    <x v="3"/>
    <x v="3"/>
    <s v="Производитель/поставщик"/>
    <s v="Фильтр нержавеющий сетчатый ФСНФ-40 фланцевый (грязевик)"/>
    <n v="7998"/>
    <s v="2025-11-14T17:19:49.979612"/>
  </r>
  <r>
    <x v="3"/>
    <x v="3"/>
    <s v="Производитель/поставщик"/>
    <s v="Фильтр нержавеющий сетчатый ФСНФ-50 фланцевый (грязевик)"/>
    <n v="10235"/>
    <s v="2025-11-14T17:19:49.980773"/>
  </r>
  <r>
    <x v="3"/>
    <x v="3"/>
    <s v="Производитель/поставщик"/>
    <s v="Фильтр нержавеющий сетчатый ФСНФ-65 фланцевый (грязевик)"/>
    <n v="15381"/>
    <s v="2025-11-14T17:19:49.983280"/>
  </r>
  <r>
    <x v="3"/>
    <x v="3"/>
    <s v="Производитель/поставщик"/>
    <s v="Фильтр нержавеющий сетчатый ФСНФ-80 фланцевый (грязевик)"/>
    <n v="51750"/>
    <s v="2025-11-14T17:19:49.983280"/>
  </r>
  <r>
    <x v="3"/>
    <x v="3"/>
    <s v="Производитель/поставщик"/>
    <s v="Фильтр нержавеющий сетчатый ФСНФ-100 фланцевый (грязевик)"/>
    <n v="28302"/>
    <s v="2025-11-14T17:19:49.983280"/>
  </r>
  <r>
    <x v="3"/>
    <x v="3"/>
    <s v="Производитель/поставщик"/>
    <s v="Фильтр нержавеющий сетчатый ФСНФ-125 фланцевый (грязевик)"/>
    <n v="38655"/>
    <s v="2025-11-14T17:19:49.985158"/>
  </r>
  <r>
    <x v="3"/>
    <x v="3"/>
    <s v="Производитель/поставщик"/>
    <s v="Фильтр нержавеющий сетчатый ФСНФ-150 фланцевый (грязевик)"/>
    <n v="64941"/>
    <s v="2025-11-14T17:19:49.985158"/>
  </r>
  <r>
    <x v="3"/>
    <x v="3"/>
    <s v="Производитель/поставщик"/>
    <s v="Фильтр нержавеющий сетчатый ФСНФ-200 фланцевый (грязевик)"/>
    <n v="83935"/>
    <s v="2025-11-14T17:19:49.985158"/>
  </r>
  <r>
    <x v="3"/>
    <x v="4"/>
    <s v="Дистрибьютор"/>
    <s v="Сетка для промывных фильтров TIM из нержавеющей стали 1/2&quot;"/>
    <n v="64"/>
    <s v="2025-11-14T16:31:17.668094"/>
  </r>
  <r>
    <x v="3"/>
    <x v="4"/>
    <s v="Дистрибьютор"/>
    <s v="Промывной сетчатый фильтр без манометра TIM - 1/2&quot; штуцер/штуцер [стеклянный корпус]"/>
    <n v="1039"/>
    <s v="2025-11-14T16:31:17.677311"/>
  </r>
  <r>
    <x v="3"/>
    <x v="4"/>
    <s v="Дистрибьютор"/>
    <s v="Сетка для промывных фильтров TIM из нержавеющей стали 3/4&quot;"/>
    <n v="109"/>
    <s v="2025-11-14T16:31:17.678918"/>
  </r>
  <r>
    <x v="3"/>
    <x v="4"/>
    <s v="Дистрибьютор"/>
    <s v="Промывной сетчатый фильтр с манометром TIM - 1/2&quot; штуцер/штуцер [стеклянный корпус]"/>
    <n v="1168"/>
    <s v="2025-11-14T16:31:17.682973"/>
  </r>
  <r>
    <x v="3"/>
    <x v="4"/>
    <s v="Дистрибьютор"/>
    <s v="Промывной сетчатый фильтр без манометра TIM - 1/2&quot; штуцер/штуцер [латунный корпус]"/>
    <n v="1286"/>
    <s v="2025-11-14T16:31:17.688367"/>
  </r>
  <r>
    <x v="3"/>
    <x v="4"/>
    <s v="Дистрибьютор"/>
    <s v="Промывной сетчатый фильтр с манометром TIM - 1/2&quot; штуцер/штуцер [латунный корпус]"/>
    <n v="1452"/>
    <s v="2025-11-14T16:31:17.688367"/>
  </r>
  <r>
    <x v="3"/>
    <x v="4"/>
    <s v="Дистрибьютор"/>
    <s v="Сетка для промывных фильтров TIM из нержавеющей стали 1&quot;"/>
    <n v="147"/>
    <s v="2025-11-14T16:31:17.695714"/>
  </r>
  <r>
    <x v="3"/>
    <x v="4"/>
    <s v="Дистрибьютор"/>
    <s v="Промывной фильтр свободного вращения с манометром TIM - 1/2&quot; штуцер/штуцер [стеклянный корпус]"/>
    <n v="1592"/>
    <s v="2025-11-14T16:31:17.695714"/>
  </r>
  <r>
    <x v="3"/>
    <x v="4"/>
    <s v="Дистрибьютор"/>
    <s v="Фильтр сетчатый косой TIM - 1&quot; гайка / гайка [100мкр] [со свтроенным мини-краном]"/>
    <n v="583"/>
    <s v="2025-11-14T16:31:17.703772"/>
  </r>
  <r>
    <x v="3"/>
    <x v="4"/>
    <s v="Дистрибьютор"/>
    <s v="Промывной сетчатый фильтр с манометром TIM - 3/4&quot; штуцер/штуцер [стеклянный корпус]"/>
    <n v="1782"/>
    <s v="2025-11-14T16:31:17.703772"/>
  </r>
  <r>
    <x v="3"/>
    <x v="4"/>
    <s v="Дистрибьютор"/>
    <s v="Фильтр сетчатый косой TIM - 3/4&quot; гайка / гайка [100мкр] [со свтроенным мини-краном]"/>
    <n v="466"/>
    <s v="2025-11-14T16:31:17.709571"/>
  </r>
  <r>
    <x v="3"/>
    <x v="4"/>
    <s v="Дистрибьютор"/>
    <s v="Промывной фильтр свободного вращения с манометром TIM - 1/2&quot; штуцер/штуцер [латунный корпус]"/>
    <n v="1873"/>
    <s v="2025-11-14T16:31:17.709571"/>
  </r>
  <r>
    <x v="3"/>
    <x v="4"/>
    <s v="Дистрибьютор"/>
    <s v="Фильтр сетчатый косой TIM - 1/2&quot; гайка / гайка [100мкр] [со свтроенным мини-краном]"/>
    <n v="333"/>
    <s v="2025-11-14T16:31:17.716476"/>
  </r>
  <r>
    <x v="3"/>
    <x v="4"/>
    <s v="Дистрибьютор"/>
    <s v="Промывной сетчатый фильтр с редуктором давления и манометром TIM - 1/2&quot; штуцер/штуцер [стеклянный корпус]"/>
    <n v="1997"/>
    <s v="2025-11-14T16:31:17.723212"/>
  </r>
  <r>
    <x v="3"/>
    <x v="4"/>
    <s v="Дистрибьютор"/>
    <s v="Промывной сетчатый фильтр с манометром TIM - 3/4&quot; штуцер/штуцер [латунный корпус]"/>
    <n v="2106"/>
    <s v="2025-11-14T16:31:17.723344"/>
  </r>
  <r>
    <x v="3"/>
    <x v="4"/>
    <s v="Дистрибьютор"/>
    <s v="Промывной сетчатый фильтр с редуктором давления и манометром TIM - 1/2&quot; штуцер/штуцер [латунный корпус]"/>
    <n v="2174"/>
    <s v="2025-11-14T16:31:17.730319"/>
  </r>
  <r>
    <x v="3"/>
    <x v="4"/>
    <s v="Дистрибьютор"/>
    <s v="Промывной сетчатый фильтр с редуктором давления и манометром TIM - 3/4&quot; штуцер/штуцер [стеклянный корпус]"/>
    <n v="2337"/>
    <s v="2025-11-14T16:31:17.730319"/>
  </r>
  <r>
    <x v="3"/>
    <x v="4"/>
    <s v="Дистрибьютор"/>
    <s v="Промывной сетчатый фильтр с манометром TIM - 1&quot; штуцер/штуцер [стеклянный корпус]"/>
    <n v="2433"/>
    <s v="2025-11-14T16:31:17.737316"/>
  </r>
  <r>
    <x v="3"/>
    <x v="4"/>
    <s v="Дистрибьютор"/>
    <s v="Промывной фильтр TIM - 3/4&quot; штуцер/штуцер с американками, ручная обратная промывка [стеклянный корпус]"/>
    <n v="2488"/>
    <s v="2025-11-14T16:31:17.737316"/>
  </r>
  <r>
    <x v="3"/>
    <x v="4"/>
    <s v="Дистрибьютор"/>
    <s v="Промывной сетчатый фильтр с редуктором давления и манометром TIM - 3/4&quot; штуцер/штуцер [латунный корпус]"/>
    <n v="2622"/>
    <s v="2025-11-14T16:31:17.744260"/>
  </r>
  <r>
    <x v="3"/>
    <x v="4"/>
    <s v="Дистрибьютор"/>
    <s v="Промывной сетчатый фильтр с манометром TIM - 1&quot; штуцер/штуцер [латунный корпус]"/>
    <n v="3190"/>
    <s v="2025-11-14T16:31:17.744260"/>
  </r>
  <r>
    <x v="3"/>
    <x v="4"/>
    <s v="Дистрибьютор"/>
    <s v="Промывной сетчатый фильтр с редуктором давления и манометром TIM - 1&quot; штуцер/штуцер [стеклянный корпус]"/>
    <n v="3397"/>
    <s v="2025-11-14T16:31:17.751197"/>
  </r>
  <r>
    <x v="3"/>
    <x v="4"/>
    <s v="Дистрибьютор"/>
    <s v="Промывной сетчатый фильтр с редуктором давления и манометром TIM - 1&quot; штуцер/штуцер [латунный корпус]"/>
    <n v="3793"/>
    <s v="2025-11-14T16:31:17.751197"/>
  </r>
  <r>
    <x v="3"/>
    <x v="4"/>
    <s v="Дистрибьютор"/>
    <s v="Промывной фильтр TIM - 1&quot; штуцер/штуцер с американками ручная обратная промывка [стеклянный корпус]"/>
    <n v="7402"/>
    <s v="2025-11-14T16:31:17.758059"/>
  </r>
  <r>
    <x v="2"/>
    <x v="5"/>
    <s v="Производитель/поставщик"/>
    <s v="Электродвигатель ДАВ-315-4У3"/>
    <n v="1571700"/>
    <s v="2025-11-14T16:14:29.562071"/>
  </r>
  <r>
    <x v="2"/>
    <x v="5"/>
    <s v="Производитель/поставщик"/>
    <s v="Электродвигатель ДАВ-250-4У3"/>
    <n v="1532500"/>
    <s v="2025-11-14T16:14:29.617920"/>
  </r>
  <r>
    <x v="2"/>
    <x v="5"/>
    <s v="Производитель/поставщик"/>
    <s v="Электродвигатель ДАЗО4-450Y-8МУ1"/>
    <n v="3716100"/>
    <s v="2025-11-14T16:14:29.631744"/>
  </r>
  <r>
    <x v="2"/>
    <x v="5"/>
    <s v="Производитель/поставщик"/>
    <s v="Электродвигатель ДАЗО4-450YK-8МУ1"/>
    <n v="3269400"/>
    <s v="2025-11-14T16:14:29.638644"/>
  </r>
  <r>
    <x v="2"/>
    <x v="5"/>
    <s v="Производитель/поставщик"/>
    <s v="Электродвигатель ДАЗО4-450X-8МУ1"/>
    <n v="2938900"/>
    <s v="2025-11-14T16:14:29.652643"/>
  </r>
  <r>
    <x v="2"/>
    <x v="5"/>
    <s v="Производитель/поставщик"/>
    <s v="Электродвигатель ДАЗО4-450Y-6МУ1"/>
    <n v="3419900"/>
    <s v="2025-11-14T16:14:29.659547"/>
  </r>
  <r>
    <x v="2"/>
    <x v="5"/>
    <s v="Производитель/поставщик"/>
    <s v="Электродвигатель ДАЗО4-450X-6МУ1"/>
    <n v="3131000"/>
    <s v="2025-11-14T16:14:29.666477"/>
  </r>
  <r>
    <x v="2"/>
    <x v="5"/>
    <s v="Производитель/поставщик"/>
    <s v="Электродвигатель ДАЗО4-400Y-4МУ1"/>
    <n v="1882600"/>
    <s v="2025-11-14T16:14:39.353738"/>
  </r>
  <r>
    <x v="2"/>
    <x v="5"/>
    <s v="Производитель/поставщик"/>
    <s v="Электродвигатель ДАЗО4-400X-4МУ1"/>
    <n v="1703900"/>
    <s v="2025-11-14T16:14:39.430247"/>
  </r>
  <r>
    <x v="2"/>
    <x v="5"/>
    <s v="Производитель/поставщик"/>
    <s v="Электродвигатель ДАЗО4-400XK-4МУ1"/>
    <n v="2246100"/>
    <s v="2025-11-14T16:14:39.437146"/>
  </r>
  <r>
    <x v="2"/>
    <x v="5"/>
    <s v="Производитель/поставщик"/>
    <s v="Электродвигатель А4-450Y-8МУ3"/>
    <n v="3232600"/>
    <s v="2025-11-14T16:14:39.443939"/>
  </r>
  <r>
    <x v="2"/>
    <x v="5"/>
    <s v="Производитель/поставщик"/>
    <s v="Электродвигатель А4-450YK-8МУ3"/>
    <n v="2949900"/>
    <s v="2025-11-14T16:14:39.457847"/>
  </r>
  <r>
    <x v="2"/>
    <x v="5"/>
    <s v="Производитель/поставщик"/>
    <s v="Электродвигатель А4-450X-8МУ3"/>
    <n v="2648800"/>
    <s v="2025-11-14T16:14:39.465021"/>
  </r>
  <r>
    <x v="2"/>
    <x v="5"/>
    <s v="Производитель/поставщик"/>
    <s v="Электродвигатель А4-450Y-6МУ3"/>
    <n v="3110200"/>
    <s v="2025-11-14T16:14:39.478761"/>
  </r>
  <r>
    <x v="2"/>
    <x v="5"/>
    <s v="Производитель/поставщик"/>
    <s v="Электродвигатель А4-450Y-4МУ3"/>
    <n v="2968200"/>
    <s v="2025-11-14T16:14:39.492684"/>
  </r>
  <r>
    <x v="2"/>
    <x v="5"/>
    <s v="Производитель/поставщик"/>
    <s v="Электродвигатель А4-400X-4МУ3"/>
    <n v="1511700"/>
    <s v="2025-11-14T16:14:51.006519"/>
  </r>
  <r>
    <x v="2"/>
    <x v="5"/>
    <s v="Производитель/поставщик"/>
    <s v="Электродвигатель А4-400XK-4МУ3"/>
    <n v="1426000"/>
    <s v="2025-11-14T16:14:51.069245"/>
  </r>
  <r>
    <x v="2"/>
    <x v="6"/>
    <s v="Производитель/поставщик"/>
    <s v="Электродвигатель 5АИ 80 А2 1,5/3000 IM1081"/>
    <n v="8547.67"/>
    <s v="2025-11-14T16:23:14.841366"/>
  </r>
  <r>
    <x v="2"/>
    <x v="6"/>
    <s v="Производитель/поставщик"/>
    <s v="Электродвигатель 5АИ 80 В2 2,2/3000 IM1081"/>
    <n v="9810"/>
    <s v="2025-11-14T16:23:15.014260"/>
  </r>
  <r>
    <x v="2"/>
    <x v="6"/>
    <s v="Производитель/поставщик"/>
    <s v="Электродвигатель 5АИ 80 В6 1,1/1000 IM1081"/>
    <n v="10263.6"/>
    <s v="2025-11-14T16:23:15.028222"/>
  </r>
  <r>
    <x v="2"/>
    <x v="6"/>
    <s v="Производитель/поставщик"/>
    <s v="Электродвигатель 5АИ 90 L2 3/3000 IM1081"/>
    <n v="12282"/>
    <s v="2025-11-14T16:23:15.048912"/>
  </r>
  <r>
    <x v="2"/>
    <x v="6"/>
    <s v="Производитель/поставщик"/>
    <s v="Электродвигатель 5АИ 90 L4 2,2/1500 IM1081"/>
    <n v="12074.4"/>
    <s v="2025-11-14T16:23:15.062860"/>
  </r>
  <r>
    <x v="2"/>
    <x v="6"/>
    <s v="Производитель/поставщик"/>
    <s v="Электродвигатель 5АИ 90 L6 1,5/1000 IM1081"/>
    <n v="13814.4"/>
    <s v="2025-11-14T16:23:15.083571"/>
  </r>
  <r>
    <x v="2"/>
    <x v="6"/>
    <s v="Производитель/поставщик"/>
    <s v="Электродвигатель 5АИ 180 М2 30/3000 IM1001"/>
    <n v="75861.600000000006"/>
    <s v="2025-11-14T16:23:15.097504"/>
  </r>
  <r>
    <x v="2"/>
    <x v="6"/>
    <s v="Производитель/поставщик"/>
    <s v="Электродвигатель 5АИ 200 М2 37/3000 IM1001"/>
    <n v="103906.8"/>
    <s v="2025-11-14T16:23:15.132152"/>
  </r>
  <r>
    <x v="2"/>
    <x v="6"/>
    <s v="Производитель/поставщик"/>
    <s v="Электродвигатель 5АИ 200 М2 37/3000 IM2001"/>
    <n v="109102.8"/>
    <s v="2025-11-14T16:23:15.167035"/>
  </r>
  <r>
    <x v="2"/>
    <x v="6"/>
    <s v="Производитель/поставщик"/>
    <s v="Электродвигатель 5АИ 315 S6 110/1000 IM1001"/>
    <n v="430215.6"/>
    <s v="2025-11-14T16:23:15.194667"/>
  </r>
  <r>
    <x v="2"/>
    <x v="6"/>
    <s v="Производитель/поставщик"/>
    <s v="Электродвигатель 5АИ 315 М6 132/1000 IM1001"/>
    <n v="472341.6"/>
    <s v="2025-11-14T16:23:15.222417"/>
  </r>
  <r>
    <x v="2"/>
    <x v="6"/>
    <s v="Производитель/поставщик"/>
    <s v="Электродвигатель 5АИ 355 S4 250/1500 IM1001"/>
    <n v="788560.8"/>
    <s v="2025-11-14T16:23:15.243248"/>
  </r>
  <r>
    <x v="2"/>
    <x v="6"/>
    <s v="Производитель/поставщик"/>
    <s v="Электродвигатель 5АИ 355 S8 132/750 IM1001"/>
    <n v="727437.6"/>
    <s v="2025-11-14T16:23:15.264255"/>
  </r>
  <r>
    <x v="2"/>
    <x v="6"/>
    <s v="Производитель/поставщик"/>
    <s v="Электродвигатель 5АИ 355 М4 315/1500 IM1001"/>
    <n v="903032.4"/>
    <s v="2025-11-14T16:23:15.277992"/>
  </r>
  <r>
    <x v="2"/>
    <x v="6"/>
    <s v="Производитель/поставщик"/>
    <s v="Электродвигатель 5АИ 315 S2 160/3000 IM1001"/>
    <n v="465458.4"/>
    <s v="2025-11-14T16:23:15.306626"/>
  </r>
  <r>
    <x v="2"/>
    <x v="6"/>
    <s v="Производитель/поставщик"/>
    <s v="Электродвигатель 5АИ 315 S4 160/1500 IM1001"/>
    <n v="443522.4"/>
    <s v="2025-11-14T16:23:15.334297"/>
  </r>
  <r>
    <x v="2"/>
    <x v="6"/>
    <s v="Производитель/поставщик"/>
    <s v="Электродвигатель 5АИ 315 М4 200/1500 IM1001"/>
    <n v="461707.2"/>
    <s v="2025-11-14T16:23:15.369493"/>
  </r>
  <r>
    <x v="2"/>
    <x v="6"/>
    <s v="Производитель/поставщик"/>
    <s v="Электродвигатель 5АИ 355 М10 110/600 IM1001"/>
    <n v="741309.6"/>
    <s v="2025-11-14T16:23:15.389819"/>
  </r>
  <r>
    <x v="2"/>
    <x v="6"/>
    <s v="Производитель/поставщик"/>
    <s v="Электродвигатель 5АИ 355 S6 160/1000 IM1001"/>
    <n v="669495.6"/>
    <s v="2025-11-14T16:23:15.410410"/>
  </r>
  <r>
    <x v="2"/>
    <x v="6"/>
    <s v="Производитель/поставщик"/>
    <s v="Электродвигатель 5АИ 90 L4 2,2/1500 IM2081"/>
    <n v="12678"/>
    <s v="2025-11-14T16:23:15.431123"/>
  </r>
  <r>
    <x v="2"/>
    <x v="6"/>
    <s v="Производитель/поставщик"/>
    <s v="Электродвигатель 5АИ 90 L6 1,5/1000 IM2081"/>
    <n v="14505.6"/>
    <s v="2025-11-14T16:23:15.452215"/>
  </r>
  <r>
    <x v="2"/>
    <x v="6"/>
    <s v="Производитель/поставщик"/>
    <s v="Электродвигатель 5АИ 180 М2 30/3000 IM2001"/>
    <n v="7954.8"/>
    <s v="2025-11-14T16:23:15.473353"/>
  </r>
  <r>
    <x v="2"/>
    <x v="6"/>
    <s v="Производитель/поставщик"/>
    <s v="Электродвигатель 5АИ 200 М4 37/1500 IM1001"/>
    <n v="112538.4"/>
    <s v="2025-11-14T16:23:15.500097"/>
  </r>
  <r>
    <x v="2"/>
    <x v="6"/>
    <s v="Производитель/поставщик"/>
    <s v="Электродвигатель 5АИ 200 М4 37/1500 IM2001"/>
    <n v="118166.39999999999"/>
    <s v="2025-11-14T16:23:15.521609"/>
  </r>
  <r>
    <x v="2"/>
    <x v="6"/>
    <s v="Производитель/поставщик"/>
    <s v="Электродвигатель 5АИ 225 М4 55/1500 IM1001"/>
    <n v="146829.6"/>
    <s v="2025-11-14T16:23:22.361577"/>
  </r>
  <r>
    <x v="2"/>
    <x v="6"/>
    <s v="Производитель/поставщик"/>
    <s v="Электродвигатель 5АИ 225 М4 55/1500 IM2001"/>
    <n v="154171.20000000001"/>
    <s v="2025-11-14T16:23:22.521018"/>
  </r>
  <r>
    <x v="2"/>
    <x v="6"/>
    <s v="Производитель/поставщик"/>
    <s v="Электродвигатель 5АИ 100 S4 3/1500 IM3081"/>
    <n v="17185.2"/>
    <s v="2025-11-14T16:23:22.542144"/>
  </r>
  <r>
    <x v="2"/>
    <x v="6"/>
    <s v="Производитель/поставщик"/>
    <s v="Электродвигатель 5АИ 56 А2 0,18/3000 IM1081"/>
    <n v="3834"/>
    <s v="2025-11-14T16:23:22.562754"/>
  </r>
  <r>
    <x v="2"/>
    <x v="6"/>
    <s v="Производитель/поставщик"/>
    <s v="Электродвигатель 5АИ 56 А2 0,18/3000 IM2081"/>
    <n v="4026"/>
    <s v="2025-11-14T16:23:22.583550"/>
  </r>
  <r>
    <x v="2"/>
    <x v="6"/>
    <s v="Производитель/поставщик"/>
    <s v="Электродвигатель 5АИ 56 А4 0,12/1500 IM1081"/>
    <n v="3960"/>
    <s v="2025-11-14T16:23:22.597517"/>
  </r>
  <r>
    <x v="2"/>
    <x v="6"/>
    <s v="Производитель/поставщик"/>
    <s v="Электродвигатель 5АИ 56 А4 0,12/1500 IM2081"/>
    <n v="4158"/>
    <s v="2025-11-14T16:23:22.618284"/>
  </r>
  <r>
    <x v="2"/>
    <x v="6"/>
    <s v="Производитель/поставщик"/>
    <s v="Электродвигатель 5АИ 56 В2 0,25/3000 IM1081"/>
    <n v="3919.2"/>
    <s v="2025-11-14T16:23:22.632282"/>
  </r>
  <r>
    <x v="2"/>
    <x v="6"/>
    <s v="Производитель/поставщик"/>
    <s v="Электродвигатель 5АИ 56 В2 0,25/3000 IM2081"/>
    <n v="4116"/>
    <s v="2025-11-14T16:23:22.652975"/>
  </r>
  <r>
    <x v="2"/>
    <x v="6"/>
    <s v="Производитель/поставщик"/>
    <s v="Электродвигатель 5АИ 56 В4 0,18/1500 IM2081"/>
    <n v="4426.8"/>
    <s v="2025-11-14T16:23:22.687443"/>
  </r>
  <r>
    <x v="2"/>
    <x v="6"/>
    <s v="Производитель/поставщик"/>
    <s v="Электродвигатель 5АИ 63 А2 0,37/3000 IM1081"/>
    <n v="4632"/>
    <s v="2025-11-14T16:23:22.708416"/>
  </r>
  <r>
    <x v="2"/>
    <x v="6"/>
    <s v="Производитель/поставщик"/>
    <s v="Электродвигатель 5АИ 63 А2 0,37/3000 IM2081"/>
    <n v="4863.6000000000004"/>
    <s v="2025-11-14T16:23:22.729185"/>
  </r>
  <r>
    <x v="2"/>
    <x v="6"/>
    <s v="Производитель/поставщик"/>
    <s v="Электродвигатель 5АИ 63 А4 0,25/1500 IM1081"/>
    <n v="5088"/>
    <s v="2025-11-14T16:23:22.750028"/>
  </r>
  <r>
    <x v="2"/>
    <x v="6"/>
    <s v="Производитель/поставщик"/>
    <s v="Электродвигатель 5АИ 63 А6 0,18/1000 IM1081"/>
    <n v="5612.4"/>
    <s v="2025-11-14T16:23:22.763862"/>
  </r>
  <r>
    <x v="2"/>
    <x v="6"/>
    <s v="Производитель/поставщик"/>
    <s v="Электродвигатель 5АИ 63 А6 0,18/1000 IM2081"/>
    <n v="5893.2"/>
    <s v="2025-11-14T16:23:22.785004"/>
  </r>
  <r>
    <x v="2"/>
    <x v="6"/>
    <s v="Производитель/поставщик"/>
    <s v="Электродвигатель 5АИ 63 В2 0,55/3000 IM1081"/>
    <n v="5410.8"/>
    <s v="2025-11-14T16:23:22.805830"/>
  </r>
  <r>
    <x v="2"/>
    <x v="6"/>
    <s v="Производитель/поставщик"/>
    <s v="Электродвигатель 5АИ 63 В2 0,55/3000 IM2081"/>
    <n v="5682"/>
    <s v="2025-11-14T16:23:22.824389"/>
  </r>
  <r>
    <x v="2"/>
    <x v="6"/>
    <s v="Производитель/поставщик"/>
    <s v="Электродвигатель 5АИ 63 В4 0,37/1500 IM1081"/>
    <n v="5332.8"/>
    <s v="2025-11-14T16:23:22.848548"/>
  </r>
  <r>
    <x v="2"/>
    <x v="6"/>
    <s v="Производитель/поставщик"/>
    <s v="Электродвигатель 5АИ 63 В4 0,37/1500 IM2081"/>
    <n v="5600.4"/>
    <s v="2025-11-14T16:23:22.882878"/>
  </r>
  <r>
    <x v="2"/>
    <x v="6"/>
    <s v="Производитель/поставщик"/>
    <s v="Электродвигатель 5АИ 63 В6 0,25/1000 IM2081"/>
    <n v="6670.8"/>
    <s v="2025-11-14T16:23:22.910393"/>
  </r>
  <r>
    <x v="2"/>
    <x v="6"/>
    <s v="Производитель/поставщик"/>
    <s v="Электродвигатель 5АИ 71 А4 0,55/1500 IM1081"/>
    <n v="6999.6"/>
    <s v="2025-11-14T16:23:22.931371"/>
  </r>
  <r>
    <x v="2"/>
    <x v="6"/>
    <s v="Производитель/поставщик"/>
    <s v="Электродвигатель 5АИ 71 А4 0,55/1500 IM2081"/>
    <n v="7350"/>
    <s v="2025-11-14T16:23:22.952123"/>
  </r>
  <r>
    <x v="2"/>
    <x v="6"/>
    <s v="Производитель/поставщик"/>
    <s v="Электродвигатель 5АИ 71 В4 0,75/1500 IM1081"/>
    <n v="7032"/>
    <s v="2025-11-14T16:23:22.973228"/>
  </r>
  <r>
    <x v="2"/>
    <x v="6"/>
    <s v="Производитель/поставщик"/>
    <s v="Электродвигатель 5АИ 71 В4 0,75/1500 IM2081"/>
    <n v="7383.6"/>
    <s v="2025-11-14T16:23:28.813472"/>
  </r>
  <r>
    <x v="2"/>
    <x v="6"/>
    <s v="Производитель/поставщик"/>
    <s v="Электродвигатель 5АИ 71 В8 0,25/750 IM2081"/>
    <n v="8686.7999999999993"/>
    <s v="2025-11-14T16:23:29.014108"/>
  </r>
  <r>
    <x v="2"/>
    <x v="6"/>
    <s v="Производитель/поставщик"/>
    <s v="Электродвигатель 5АИ 80 А2 1,5/3000 IM2081"/>
    <n v="8976"/>
    <s v="2025-11-14T16:23:29.027900"/>
  </r>
  <r>
    <x v="2"/>
    <x v="6"/>
    <s v="Производитель/поставщик"/>
    <s v="Электродвигатель 5АИ 80 А4 1,1/1500 IM1081"/>
    <n v="8481.6"/>
    <s v="2025-11-14T16:23:29.048679"/>
  </r>
  <r>
    <x v="2"/>
    <x v="6"/>
    <s v="Производитель/поставщик"/>
    <s v="Электродвигатель 5АИ 80 А4 1,1/1500 IM2081"/>
    <n v="8905.2000000000007"/>
    <s v="2025-11-14T16:23:29.069611"/>
  </r>
  <r>
    <x v="2"/>
    <x v="6"/>
    <s v="Производитель/поставщик"/>
    <s v="Электродвигатель 5АИ 80 А6 0,75/1000 IM1081"/>
    <n v="9112.7999999999993"/>
    <s v="2025-11-14T16:23:29.090471"/>
  </r>
  <r>
    <x v="2"/>
    <x v="6"/>
    <s v="Производитель/поставщик"/>
    <s v="Электродвигатель 5АИ 80 А6 0,75/1000 IM2081"/>
    <n v="9567.6"/>
    <s v="2025-11-14T16:23:29.125077"/>
  </r>
  <r>
    <x v="2"/>
    <x v="6"/>
    <s v="Производитель/поставщик"/>
    <s v="Электродвигатель 5АИ 80 А8 0,37/750 IM1081"/>
    <n v="9338.4"/>
    <s v="2025-11-14T16:23:29.146004"/>
  </r>
  <r>
    <x v="2"/>
    <x v="6"/>
    <s v="Производитель/поставщик"/>
    <s v="Электродвигатель 5АИ 80 А8 0,37/750 IM2081"/>
    <n v="9805.2000000000007"/>
    <s v="2025-11-14T16:23:29.180890"/>
  </r>
  <r>
    <x v="2"/>
    <x v="6"/>
    <s v="Производитель/поставщик"/>
    <s v="Электродвигатель 5АИ 80 В2 2,2/3000 IM2081"/>
    <n v="10299.6"/>
    <s v="2025-11-14T16:23:29.208514"/>
  </r>
  <r>
    <x v="2"/>
    <x v="6"/>
    <s v="Производитель/поставщик"/>
    <s v="Электродвигатель 5АИ 80 В4 1,5/1500 IM1081"/>
    <n v="9546"/>
    <s v="2025-11-14T16:23:29.236382"/>
  </r>
  <r>
    <x v="2"/>
    <x v="6"/>
    <s v="Производитель/поставщик"/>
    <s v="Электродвигатель 5АИ 80 В4 1,5/1500 IM2081"/>
    <n v="10022.4"/>
    <s v="2025-11-14T16:23:29.271744"/>
  </r>
  <r>
    <x v="2"/>
    <x v="6"/>
    <s v="Производитель/поставщик"/>
    <s v="Электродвигатель 5АИ 80 В6 1,1/1000 IM2081"/>
    <n v="10777.2"/>
    <s v="2025-11-14T16:23:29.313366"/>
  </r>
  <r>
    <x v="2"/>
    <x v="6"/>
    <s v="Производитель/поставщик"/>
    <s v="Электродвигатель 5АИ 80 В8 0,55/750 IM1081"/>
    <n v="10791.6"/>
    <s v="2025-11-14T16:23:29.348110"/>
  </r>
  <r>
    <x v="2"/>
    <x v="6"/>
    <s v="Производитель/поставщик"/>
    <s v="Электродвигатель 5АИ 80 В8 0,55/750 IM2081"/>
    <n v="11331.6"/>
    <s v="2025-11-14T16:23:29.382860"/>
  </r>
  <r>
    <x v="2"/>
    <x v="6"/>
    <s v="Производитель/поставщик"/>
    <s v="Электродвигатель 5АИ 90 L2 3/3000 IM2081"/>
    <n v="12895.2"/>
    <s v="2025-11-14T16:23:29.416651"/>
  </r>
  <r>
    <x v="2"/>
    <x v="6"/>
    <s v="Производитель/поставщик"/>
    <s v="Электродвигатель 5АИ 100 L8 1,5/750 IM1081"/>
    <n v="1793.6"/>
    <s v="2025-11-14T16:23:29.452211"/>
  </r>
  <r>
    <x v="2"/>
    <x v="6"/>
    <s v="Производитель/поставщик"/>
    <s v="Электродвигатель 5АИ 100 L8 1,5/750 IM2081"/>
    <n v="18682.8"/>
    <s v="2025-11-14T16:23:29.486861"/>
  </r>
  <r>
    <x v="2"/>
    <x v="6"/>
    <s v="Производитель/поставщик"/>
    <s v="Электродвигатель 5АИ 100 S2 4/3000 IM1081"/>
    <n v="15675.6"/>
    <s v="2025-11-14T16:23:29.521604"/>
  </r>
  <r>
    <x v="2"/>
    <x v="6"/>
    <s v="Производитель/поставщик"/>
    <s v="Электродвигатель 5АИ 100 S2 4/3000 IM2081"/>
    <n v="16459.2"/>
    <s v="2025-11-14T16:23:29.556405"/>
  </r>
  <r>
    <x v="2"/>
    <x v="6"/>
    <s v="Производитель/поставщик"/>
    <s v="Электродвигатель 5АИ 315 S8 90/750 IM1001"/>
    <n v="401878.8"/>
    <s v="2025-11-14T16:23:29.626103"/>
  </r>
  <r>
    <x v="2"/>
    <x v="6"/>
    <s v="Производитель/поставщик"/>
    <s v="Электродвигатель 5АИ 63 А4 0,25/1500 IM2081"/>
    <n v="5342.4"/>
    <s v="2025-11-14T16:23:29.660587"/>
  </r>
  <r>
    <x v="2"/>
    <x v="6"/>
    <s v="Производитель/поставщик"/>
    <s v="Электродвигатель 5АИ 315 М2 200/3000 IM1001"/>
    <n v="489519.2"/>
    <s v="2025-11-14T16:23:29.702280"/>
  </r>
  <r>
    <x v="2"/>
    <x v="6"/>
    <s v="Производитель/поставщик"/>
    <s v="Электродвигатель 5АИ 315 М8 110/750 IM1001"/>
    <n v="488558.4"/>
    <s v="2025-11-14T16:23:37.300057"/>
  </r>
  <r>
    <x v="2"/>
    <x v="6"/>
    <s v="Производитель/поставщик"/>
    <s v="Электродвигатель 5АИ 355 М6 200/1000 IM1001"/>
    <n v="749296.8"/>
    <s v="2025-11-14T16:23:37.501801"/>
  </r>
  <r>
    <x v="2"/>
    <x v="6"/>
    <s v="Производитель/поставщик"/>
    <s v="Электродвигатель 5АИ 355 М8 160/750 IM1001"/>
    <n v="781809.6"/>
    <s v="2025-11-14T16:23:37.536502"/>
  </r>
  <r>
    <x v="2"/>
    <x v="6"/>
    <s v="Производитель/поставщик"/>
    <s v="Электродвигатель 5АИ 100 L2 5,5/3000 IM1081"/>
    <n v="17914.8"/>
    <s v="2025-11-14T16:23:37.613273"/>
  </r>
  <r>
    <x v="2"/>
    <x v="6"/>
    <s v="Производитель/поставщик"/>
    <s v="Электродвигатель 5АИ 160 S2 15/3000 IM1001"/>
    <n v="46987.199999999997"/>
    <s v="2025-11-14T16:23:37.654906"/>
  </r>
  <r>
    <x v="2"/>
    <x v="6"/>
    <s v="Производитель/поставщик"/>
    <s v="Электродвигатель 5АИ 160 S2 15/3000 IM2001"/>
    <n v="49336.800000000003"/>
    <s v="2025-11-14T16:23:37.689443"/>
  </r>
  <r>
    <x v="2"/>
    <x v="6"/>
    <s v="Производитель/поставщик"/>
    <s v="Электродвигатель 5АИ 180 М4 30/1500 IM1001"/>
    <n v="82663.199999999997"/>
    <s v="2025-11-14T16:23:37.724398"/>
  </r>
  <r>
    <x v="2"/>
    <x v="6"/>
    <s v="Производитель/поставщик"/>
    <s v="Электродвигатель 5АИ 180 М4 30/1500 IM2001"/>
    <n v="86796"/>
    <s v="2025-11-14T16:23:37.771615"/>
  </r>
  <r>
    <x v="2"/>
    <x v="6"/>
    <s v="Производитель/поставщик"/>
    <s v="Электродвигатель 5АИ 100 L6 2,2/1000 IM1081"/>
    <n v="17134.8"/>
    <s v="2025-11-14T16:23:37.799305"/>
  </r>
  <r>
    <x v="2"/>
    <x v="6"/>
    <s v="Производитель/поставщик"/>
    <s v="Электродвигатель 5АИ 100 L6 2,2/1000 IM2081"/>
    <n v="17990.400000000001"/>
    <s v="2025-11-14T16:23:37.841972"/>
  </r>
  <r>
    <x v="2"/>
    <x v="6"/>
    <s v="Производитель/поставщик"/>
    <s v="Электродвигатель 5АИ 71 А2 0,75/3000 IM1081"/>
    <n v="6148.8"/>
    <s v="2025-11-14T16:23:37.916276"/>
  </r>
  <r>
    <x v="2"/>
    <x v="6"/>
    <s v="Производитель/поставщик"/>
    <s v="Электродвигатель 5АИ 71 А2 0,75/3000 IM2081"/>
    <n v="6456"/>
    <s v="2025-11-14T16:23:37.945105"/>
  </r>
  <r>
    <x v="2"/>
    <x v="6"/>
    <s v="Производитель/поставщик"/>
    <s v="Электродвигатель 5АИ 71 А6 0,37/1000 IM1081"/>
    <n v="7435.2"/>
    <s v="2025-11-14T16:23:37.979518"/>
  </r>
  <r>
    <x v="2"/>
    <x v="6"/>
    <s v="Производитель/поставщик"/>
    <s v="Электродвигатель 5АИ 71 А6 0,37/1000 IM2081"/>
    <n v="7806"/>
    <s v="2025-11-14T16:23:38.014356"/>
  </r>
  <r>
    <x v="2"/>
    <x v="6"/>
    <s v="Производитель/поставщик"/>
    <s v="Электродвигатель 5АИ 71 В2 1,1/3000 IM1081"/>
    <n v="7125.6"/>
    <s v="2025-11-14T16:23:38.057346"/>
  </r>
  <r>
    <x v="2"/>
    <x v="6"/>
    <s v="Производитель/поставщик"/>
    <s v="Электродвигатель 5АИ 71 В2 1,1/3000 IM2081"/>
    <n v="7480.8"/>
    <s v="2025-11-14T16:23:38.103769"/>
  </r>
  <r>
    <x v="2"/>
    <x v="6"/>
    <s v="Производитель/поставщик"/>
    <s v="Электродвигатель 5АИ 112 МА6 3/1000 IM1081"/>
    <n v="21070.799999999999"/>
    <s v="2025-11-14T16:23:38.146266"/>
  </r>
  <r>
    <x v="2"/>
    <x v="6"/>
    <s v="Производитель/поставщик"/>
    <s v="Электродвигатель 5АИ 112 МА6 3/1000 IM2081"/>
    <n v="22124.400000000001"/>
    <s v="2025-11-14T16:23:38.187092"/>
  </r>
  <r>
    <x v="2"/>
    <x v="6"/>
    <s v="Производитель/поставщик"/>
    <s v="Электродвигатель 5АИ 132 М2 11/3000 IM1081"/>
    <n v="31118.400000000001"/>
    <s v="2025-11-14T16:23:38.249563"/>
  </r>
  <r>
    <x v="2"/>
    <x v="6"/>
    <s v="Производитель/поставщик"/>
    <s v="Электродвигатель 5АИ 132 М2 11/3000 IM2081"/>
    <n v="32673.599999999999"/>
    <s v="2025-11-14T16:23:38.320062"/>
  </r>
  <r>
    <x v="2"/>
    <x v="6"/>
    <s v="Производитель/поставщик"/>
    <s v="Электродвигатель 5АИ 132 М4 11/1500 IM1081"/>
    <n v="37890"/>
    <s v="2025-11-14T16:23:44.014530"/>
  </r>
  <r>
    <x v="2"/>
    <x v="6"/>
    <s v="Производитель/поставщик"/>
    <s v="Электродвигатель 5АИ 132 М4 11/1500 IM2081"/>
    <n v="39784.800000000003"/>
    <s v="2025-11-14T16:23:44.201899"/>
  </r>
  <r>
    <x v="2"/>
    <x v="6"/>
    <s v="Производитель/поставщик"/>
    <s v="Электродвигатель 5АИ 200 L2 45/3000 IM1001"/>
    <n v="115443.6"/>
    <s v="2025-11-14T16:23:44.222851"/>
  </r>
  <r>
    <x v="2"/>
    <x v="6"/>
    <s v="Производитель/поставщик"/>
    <s v="Электродвигатель 5АИ 200 L2 45/3000 IM2001"/>
    <n v="121216.8"/>
    <s v="2025-11-14T16:23:44.243645"/>
  </r>
  <r>
    <x v="2"/>
    <x v="6"/>
    <s v="Производитель/поставщик"/>
    <s v="Электродвигатель 5АИ 200 L4 45/1500 IM1001"/>
    <n v="122456.4"/>
    <s v="2025-11-14T16:23:44.258732"/>
  </r>
  <r>
    <x v="2"/>
    <x v="6"/>
    <s v="Производитель/поставщик"/>
    <s v="Электродвигатель 5АИ 200 L4 45/1500 IM2001"/>
    <n v="128580"/>
    <s v="2025-11-14T16:23:44.277440"/>
  </r>
  <r>
    <x v="2"/>
    <x v="6"/>
    <s v="Производитель/поставщик"/>
    <s v="Электродвигатель 5АИ 180 М6 18,5/1000 IM1001"/>
    <n v="73250.399999999994"/>
    <s v="2025-11-14T16:23:44.298408"/>
  </r>
  <r>
    <x v="2"/>
    <x v="6"/>
    <s v="Производитель/поставщик"/>
    <s v="Электродвигатель 5АИ 200 L6 30/1000 IM1001"/>
    <n v="105446.39999999999"/>
    <s v="2025-11-14T16:23:44.319303"/>
  </r>
  <r>
    <x v="2"/>
    <x v="6"/>
    <s v="Производитель/поставщик"/>
    <s v="Электродвигатель 5АИ 200 L6 30/1000 IM2001"/>
    <n v="110718"/>
    <s v="2025-11-14T16:23:44.333168"/>
  </r>
  <r>
    <x v="2"/>
    <x v="6"/>
    <s v="Производитель/поставщик"/>
    <s v="Электродвигатель 5АИ 180 М6 18,5/1000 IM2001"/>
    <n v="76912.800000000003"/>
    <s v="2025-11-14T16:23:44.354614"/>
  </r>
  <r>
    <x v="2"/>
    <x v="6"/>
    <s v="Производитель/поставщик"/>
    <s v="Электродвигатель 5АИ 200 L8 22/750 IM1001"/>
    <n v="109660.8"/>
    <s v="2025-11-14T16:23:44.375112"/>
  </r>
  <r>
    <x v="2"/>
    <x v="6"/>
    <s v="Производитель/поставщик"/>
    <s v="Электродвигатель 5АИ 71 В6 0,55/1000 IM1081"/>
    <n v="7640.4"/>
    <s v="2025-11-14T16:23:44.395837"/>
  </r>
  <r>
    <x v="2"/>
    <x v="6"/>
    <s v="Производитель/поставщик"/>
    <s v="Электродвигатель 5АИ 200 L8 22/750 IM2001"/>
    <n v="115143.6"/>
    <s v="2025-11-14T16:23:44.416499"/>
  </r>
  <r>
    <x v="2"/>
    <x v="6"/>
    <s v="Производитель/поставщик"/>
    <s v="Электродвигатель 5АИ 200 М6 22/1000 IM1001"/>
    <n v="95635.199999999997"/>
    <s v="2025-11-14T16:23:44.437495"/>
  </r>
  <r>
    <x v="2"/>
    <x v="6"/>
    <s v="Производитель/поставщик"/>
    <s v="Электродвигатель 5АИ 200 М6 22/1000 IM2001"/>
    <n v="100416"/>
    <s v="2025-11-14T16:23:44.459133"/>
  </r>
  <r>
    <x v="2"/>
    <x v="6"/>
    <s v="Производитель/поставщик"/>
    <s v="Электродвигатель 5АИ 200 М8 18,5/750 IM1001"/>
    <n v="110677.2"/>
    <s v="2025-11-14T16:23:44.487446"/>
  </r>
  <r>
    <x v="2"/>
    <x v="6"/>
    <s v="Производитель/поставщик"/>
    <s v="Электродвигатель 5АИ 200 М8 18,5/750 IM2001"/>
    <n v="116210.4"/>
    <s v="2025-11-14T16:23:44.510897"/>
  </r>
  <r>
    <x v="2"/>
    <x v="6"/>
    <s v="Производитель/поставщик"/>
    <s v="Электродвигатель 5АИ 225 М2 55/3000 IM1001"/>
    <n v="128917.2"/>
    <s v="2025-11-14T16:23:44.535516"/>
  </r>
  <r>
    <x v="2"/>
    <x v="6"/>
    <s v="Производитель/поставщик"/>
    <s v="Электродвигатель 5АИ 225 М2 55/3000 IM2001"/>
    <n v="135362.4"/>
    <s v="2025-11-14T16:23:44.562037"/>
  </r>
  <r>
    <x v="2"/>
    <x v="6"/>
    <s v="Производитель/поставщик"/>
    <s v="Электродвигатель 5АИ 225 М6 37/1000 IM1001"/>
    <n v="140647.20000000001"/>
    <s v="2025-11-14T16:23:44.590166"/>
  </r>
  <r>
    <x v="2"/>
    <x v="6"/>
    <s v="Производитель/поставщик"/>
    <s v="Электродвигатель 5АИ 225 М6 37/1000 IM2001"/>
    <n v="147680.4"/>
    <s v="2025-11-14T16:23:44.619280"/>
  </r>
  <r>
    <x v="2"/>
    <x v="6"/>
    <s v="Производитель/поставщик"/>
    <s v="Электродвигатель 5АИ 225 М8 30/750 IM1001"/>
    <n v="136242"/>
    <s v="2025-11-14T16:23:44.645394"/>
  </r>
  <r>
    <x v="2"/>
    <x v="6"/>
    <s v="Производитель/поставщик"/>
    <s v="Электродвигатель 5АИ 71 В6 0,55/1000 IM2081"/>
    <n v="8022"/>
    <s v="2025-11-14T16:23:44.687170"/>
  </r>
  <r>
    <x v="2"/>
    <x v="6"/>
    <s v="Производитель/поставщик"/>
    <s v="Электродвигатель 5АИ 100 S4 3/1500 IM1081"/>
    <n v="16366.8"/>
    <s v="2025-11-14T16:23:52.341786"/>
  </r>
  <r>
    <x v="2"/>
    <x v="6"/>
    <s v="Производитель/поставщик"/>
    <s v="Электродвигатель 5АИ 100 L2 5,5/3000 IM2081"/>
    <n v="18811.2"/>
    <s v="2025-11-14T16:23:52.619643"/>
  </r>
  <r>
    <x v="2"/>
    <x v="6"/>
    <s v="Производитель/поставщик"/>
    <s v="Электродвигатель 5АИ 100 L4 4/1500 IM1081"/>
    <n v="18477.599999999999"/>
    <s v="2025-11-14T16:23:52.661056"/>
  </r>
  <r>
    <x v="2"/>
    <x v="6"/>
    <s v="Производитель/поставщик"/>
    <s v="Электродвигатель 5АИ 100 L4 4/1500 IM2081"/>
    <n v="19401.599999999999"/>
    <s v="2025-11-14T16:23:52.681435"/>
  </r>
  <r>
    <x v="2"/>
    <x v="6"/>
    <s v="Производитель/поставщик"/>
    <s v="Электродвигатель 5АИ 112 М4 5,5/1500 IM1081"/>
    <n v="22393.200000000001"/>
    <s v="2025-11-14T16:23:52.716618"/>
  </r>
  <r>
    <x v="2"/>
    <x v="6"/>
    <s v="Производитель/поставщик"/>
    <s v="Электродвигатель 5АИ 112 М4 5,5/1500 IM2081"/>
    <n v="23512.799999999999"/>
    <s v="2025-11-14T16:23:52.736499"/>
  </r>
  <r>
    <x v="2"/>
    <x v="6"/>
    <s v="Производитель/поставщик"/>
    <s v="Электродвигатель 5АИ 132 S6 5,5/1000 IM1081"/>
    <n v="30975.599999999999"/>
    <s v="2025-11-14T16:23:52.757102"/>
  </r>
  <r>
    <x v="2"/>
    <x v="6"/>
    <s v="Производитель/поставщик"/>
    <s v="Электродвигатель 5АИ 132 S6 5,5/1000 IM2081"/>
    <n v="32524.799999999999"/>
    <s v="2025-11-14T16:23:52.770396"/>
  </r>
  <r>
    <x v="2"/>
    <x v="6"/>
    <s v="Производитель/поставщик"/>
    <s v="Электродвигатель 5АИ 160 S4 15/1500 IM1001"/>
    <n v="51079.199999999997"/>
    <s v="2025-11-14T16:23:52.792242"/>
  </r>
  <r>
    <x v="2"/>
    <x v="6"/>
    <s v="Производитель/поставщик"/>
    <s v="Электродвигатель 5АИ 160 S4 15/1500 IM2001"/>
    <n v="53634"/>
    <s v="2025-11-14T16:23:52.808372"/>
  </r>
  <r>
    <x v="2"/>
    <x v="6"/>
    <s v="Производитель/поставщик"/>
    <s v="Электродвигатель 5АИ 160 S6 11/1000 IM1001"/>
    <n v="51886.8"/>
    <s v="2025-11-14T16:23:52.832382"/>
  </r>
  <r>
    <x v="2"/>
    <x v="6"/>
    <s v="Производитель/поставщик"/>
    <s v="Электродвигатель 5АИ 160 S6 11/1000 IM2001"/>
    <n v="54481.2"/>
    <s v="2025-11-14T16:23:52.848368"/>
  </r>
  <r>
    <x v="2"/>
    <x v="6"/>
    <s v="Производитель/поставщик"/>
    <s v="Электродвигатель 5АИ 160 М2 18,5/3000 IM1001"/>
    <n v="53181.599999999999"/>
    <s v="2025-11-14T16:23:52.872664"/>
  </r>
  <r>
    <x v="2"/>
    <x v="6"/>
    <s v="Производитель/поставщик"/>
    <s v="Электродвигатель 5АИ 180 S2 22/3000 IM1001"/>
    <n v="68888.399999999994"/>
    <s v="2025-11-14T16:23:52.896632"/>
  </r>
  <r>
    <x v="2"/>
    <x v="6"/>
    <s v="Производитель/поставщик"/>
    <s v="Электродвигатель 5АИ 180 S2 22/3000 IM2001"/>
    <n v="72332.399999999994"/>
    <s v="2025-11-14T16:23:52.917054"/>
  </r>
  <r>
    <x v="2"/>
    <x v="6"/>
    <s v="Производитель/поставщик"/>
    <s v="Электродвигатель 5АИ 180 S4 22/1500 IM1001"/>
    <n v="71035.199999999997"/>
    <s v="2025-11-14T16:23:52.941066"/>
  </r>
  <r>
    <x v="2"/>
    <x v="6"/>
    <s v="Производитель/поставщик"/>
    <s v="Электродвигатель 5АИ 180 S4 22/1500 IM2001"/>
    <n v="74587.199999999997"/>
    <s v="2025-11-14T16:23:52.965058"/>
  </r>
  <r>
    <x v="2"/>
    <x v="6"/>
    <s v="Производитель/поставщик"/>
    <s v="Электродвигатель 5АИ 160 М2 18,5/3000 IM2001"/>
    <n v="55839.6"/>
    <s v="2025-11-14T16:24:01.056721"/>
  </r>
  <r>
    <x v="2"/>
    <x v="6"/>
    <s v="Производитель/поставщик"/>
    <s v="Электродвигатель 5АИ 160 М4 18,5/1500 IM1001"/>
    <n v="57937.2"/>
    <s v="2025-11-14T16:24:01.235737"/>
  </r>
  <r>
    <x v="2"/>
    <x v="6"/>
    <s v="Производитель/поставщик"/>
    <s v="Электродвигатель 5АИ 160 М6 15/1000 IM1001"/>
    <n v="57798"/>
    <s v="2025-11-14T16:24:01.270564"/>
  </r>
  <r>
    <x v="2"/>
    <x v="6"/>
    <s v="Производитель/поставщик"/>
    <s v="Электродвигатель 5АИ 160 М6 15/1000 IM2001"/>
    <n v="60687.6"/>
    <s v="2025-11-14T16:24:01.291313"/>
  </r>
  <r>
    <x v="2"/>
    <x v="6"/>
    <s v="Производитель/поставщик"/>
    <s v="Электродвигатель 5АИ 160 М8 11/750 IM1001"/>
    <n v="54649.2"/>
    <s v="2025-11-14T16:24:01.305197"/>
  </r>
  <r>
    <x v="2"/>
    <x v="6"/>
    <s v="Производитель/поставщик"/>
    <s v="Электродвигатель 5АИ 160 М8 11/750 IM2001"/>
    <n v="57381.599999999999"/>
    <s v="2025-11-14T16:24:01.325876"/>
  </r>
  <r>
    <x v="2"/>
    <x v="6"/>
    <s v="Производитель/поставщик"/>
    <s v="Электродвигатель 5АИ 280 S2 110/3000 IM1001"/>
    <n v="232074"/>
    <s v="2025-11-14T16:24:01.339775"/>
  </r>
  <r>
    <x v="2"/>
    <x v="6"/>
    <s v="Производитель/поставщик"/>
    <s v="Электродвигатель 5АИ 280 S8 55/750 IM1001"/>
    <n v="228997.2"/>
    <s v="2025-11-14T16:24:01.360617"/>
  </r>
  <r>
    <x v="2"/>
    <x v="6"/>
    <s v="Производитель/поставщик"/>
    <s v="Электродвигатель 5АИ 63 В6 0,25/1000 IM1081"/>
    <n v="6354"/>
    <s v="2025-11-14T16:24:01.559813"/>
  </r>
  <r>
    <x v="2"/>
    <x v="6"/>
    <s v="Производитель/поставщик"/>
    <s v="Электродвигатель 5АИ 112 МВ6 4/1000 IM1081"/>
    <n v="22929.599999999999"/>
    <s v="2025-11-14T16:24:01.611596"/>
  </r>
  <r>
    <x v="2"/>
    <x v="6"/>
    <s v="Производитель/поставщик"/>
    <s v="Электродвигатель 5АИ 112 МВ6 4/1000 IM2081"/>
    <n v="24075.599999999999"/>
    <s v="2025-11-14T16:24:01.646135"/>
  </r>
  <r>
    <x v="2"/>
    <x v="6"/>
    <s v="Производитель/поставщик"/>
    <s v="Электродвигатель 5АИ 112 МА8 2,2/750 IM1081"/>
    <n v="21044.400000000001"/>
    <s v="2025-11-14T16:24:01.674166"/>
  </r>
  <r>
    <x v="2"/>
    <x v="6"/>
    <s v="Производитель/поставщик"/>
    <s v="Электродвигатель 5АИ 112 МА8 2,2/750 IM2081"/>
    <n v="22096.799999999999"/>
    <s v="2025-11-14T16:24:01.714746"/>
  </r>
  <r>
    <x v="2"/>
    <x v="6"/>
    <s v="Производитель/поставщик"/>
    <s v="Электродвигатель 5АИ 112 МВ8 3/750 IM1081"/>
    <n v="23754"/>
    <s v="2025-11-14T16:24:01.750437"/>
  </r>
  <r>
    <x v="2"/>
    <x v="6"/>
    <s v="Производитель/поставщик"/>
    <s v="Электродвигатель 5АИ 132 S8 4/750 IM1081"/>
    <n v="28201.200000000001"/>
    <s v="2025-11-14T16:24:01.784931"/>
  </r>
  <r>
    <x v="2"/>
    <x v="6"/>
    <s v="Производитель/поставщик"/>
    <s v="Электродвигатель 5АИ 132 S8 4/750 IM2081"/>
    <n v="29611.200000000001"/>
    <s v="2025-11-14T16:24:01.818979"/>
  </r>
  <r>
    <x v="2"/>
    <x v="6"/>
    <s v="Производитель/поставщик"/>
    <s v="Электродвигатель 5АИ 132 М8 5,5/750 IM1081"/>
    <n v="33337.199999999997"/>
    <s v="2025-11-14T16:24:01.833637"/>
  </r>
  <r>
    <x v="2"/>
    <x v="6"/>
    <s v="Производитель/поставщик"/>
    <s v="Электродвигатель 5АИ 132 М8 5,5/750 IM2081"/>
    <n v="35004"/>
    <s v="2025-11-14T16:24:01.861576"/>
  </r>
  <r>
    <x v="2"/>
    <x v="6"/>
    <s v="Производитель/поставщик"/>
    <s v="Электродвигатель 5АИ 180 М8 15/750 IM1001"/>
    <n v="78301.2"/>
    <s v="2025-11-14T16:24:09.214509"/>
  </r>
  <r>
    <x v="2"/>
    <x v="6"/>
    <s v="Производитель/поставщик"/>
    <s v="Электродвигатель 5АИ 250 М2 90/3000 IM1001"/>
    <n v="194060.4"/>
    <s v="2025-11-14T16:24:09.424354"/>
  </r>
  <r>
    <x v="2"/>
    <x v="6"/>
    <s v="Производитель/поставщик"/>
    <s v="Электродвигатель 5АИ 250 М2 90/3000 IM2001"/>
    <n v="203763.6"/>
    <s v="2025-11-14T16:24:09.459724"/>
  </r>
  <r>
    <x v="2"/>
    <x v="6"/>
    <s v="Производитель/поставщик"/>
    <s v="Электродвигатель 5АИ 250 М4 90/1500 IM1001"/>
    <n v="206529.6"/>
    <s v="2025-11-14T16:24:09.480577"/>
  </r>
  <r>
    <x v="2"/>
    <x v="6"/>
    <s v="Производитель/поставщик"/>
    <s v="Электродвигатель 5АИ 250 М4 90/1500 IM2001"/>
    <n v="216856.8"/>
    <s v="2025-11-14T16:24:09.501029"/>
  </r>
  <r>
    <x v="2"/>
    <x v="6"/>
    <s v="Производитель/поставщик"/>
    <s v="Электродвигатель 5АИ 250 S6 45/1000 IM1001"/>
    <n v="157958.39999999999"/>
    <s v="2025-11-14T16:24:09.522097"/>
  </r>
  <r>
    <x v="2"/>
    <x v="6"/>
    <s v="Производитель/поставщик"/>
    <s v="Электродвигатель 5АИ 250 М6 55/1000 IM1001"/>
    <n v="181917.6"/>
    <s v="2025-11-14T16:24:09.563830"/>
  </r>
  <r>
    <x v="2"/>
    <x v="6"/>
    <s v="Производитель/поставщик"/>
    <s v="Электродвигатель 5АИ 250 М6 55/1000 IM2001"/>
    <n v="192013.6"/>
    <s v="2025-11-14T16:24:09.584778"/>
  </r>
  <r>
    <x v="2"/>
    <x v="6"/>
    <s v="Производитель/поставщик"/>
    <s v="Электродвигатель 5АИ 250 S8 37/750 IM1001"/>
    <n v="172449.6"/>
    <s v="2025-11-14T16:24:09.605174"/>
  </r>
  <r>
    <x v="2"/>
    <x v="6"/>
    <s v="Производитель/поставщик"/>
    <s v="Электродвигатель 5АИ 250 М8 45/750 IM2001"/>
    <n v="220357.2"/>
    <s v="2025-11-14T16:24:09.632941"/>
  </r>
  <r>
    <x v="2"/>
    <x v="6"/>
    <s v="Производитель/поставщик"/>
    <s v="Электродвигатель 5АИ 250 М8 45/750 IM1001"/>
    <n v="209864.4"/>
    <s v="2025-11-14T16:24:09.654156"/>
  </r>
  <r>
    <x v="2"/>
    <x v="6"/>
    <s v="Производитель/поставщик"/>
    <s v="Электродвигатель 5АИ 280 S4 110/1500 IM1001"/>
    <n v="273993.59999999998"/>
    <s v="2025-11-14T16:24:09.670157"/>
  </r>
  <r>
    <x v="2"/>
    <x v="6"/>
    <s v="Производитель/поставщик"/>
    <s v="Электродвигатель 5АИ 280 S6 75/1000 IM1001"/>
    <n v="231645.6"/>
    <s v="2025-11-14T16:24:09.695513"/>
  </r>
  <r>
    <x v="2"/>
    <x v="6"/>
    <s v="Производитель/поставщик"/>
    <s v="Электродвигатель 5АИ 280 М2 132/3000 IM1001"/>
    <n v="312126"/>
    <s v="2025-11-14T16:24:09.751095"/>
  </r>
  <r>
    <x v="2"/>
    <x v="6"/>
    <s v="Производитель/поставщик"/>
    <s v="Электродвигатель 5АИ 280 М4 132/1500 IM1001"/>
    <n v="302259.59999999998"/>
    <s v="2025-11-14T16:24:09.779346"/>
  </r>
  <r>
    <x v="2"/>
    <x v="6"/>
    <s v="Производитель/поставщик"/>
    <s v="Электродвигатель 5АИ 280 М8 75/750 IM1001"/>
    <n v="275313.59999999998"/>
    <s v="2025-11-14T16:24:09.820122"/>
  </r>
  <r>
    <x v="2"/>
    <x v="6"/>
    <s v="Производитель/поставщик"/>
    <s v="Электродвигатель 5АИ 112 М2 7,6/3000 IM1081"/>
    <n v="22245.599999999999"/>
    <s v="2025-11-14T16:24:09.847302"/>
  </r>
  <r>
    <x v="2"/>
    <x v="6"/>
    <s v="Производитель/поставщик"/>
    <s v="Электродвигатель 5АИ 112 М2 7,6/3000 IM2081"/>
    <n v="23358"/>
    <s v="2025-11-14T16:24:09.875084"/>
  </r>
  <r>
    <x v="2"/>
    <x v="6"/>
    <s v="Производитель/поставщик"/>
    <s v="Электродвигатель 5АИ 280 М4 132/1500 IM2001"/>
    <n v="317372.40000000002"/>
    <s v="2025-11-14T16:24:09.896964"/>
  </r>
  <r>
    <x v="2"/>
    <x v="6"/>
    <s v="Производитель/поставщик"/>
    <s v="Электродвигатель 5АИ 315 М10 75/600 IM1001"/>
    <n v="455049.6"/>
    <s v="2025-11-14T16:24:09.917274"/>
  </r>
  <r>
    <x v="2"/>
    <x v="6"/>
    <s v="Производитель/поставщик"/>
    <s v="Электродвигатель 5АИ 280 М2 132/3000 IM2001"/>
    <n v="327733.2"/>
    <s v="2025-11-14T16:24:09.938102"/>
  </r>
  <r>
    <x v="2"/>
    <x v="6"/>
    <s v="Производитель/поставщик"/>
    <s v="Электродвигатель 5АИ 132 S4 7,6/1500 IM1081"/>
    <n v="30552"/>
    <s v="2025-11-14T16:24:17.236591"/>
  </r>
  <r>
    <x v="2"/>
    <x v="6"/>
    <s v="Производитель/поставщик"/>
    <s v="Электродвигатель 5АИ 132 S4 7,6/1500 IM2081"/>
    <n v="32079.599999999999"/>
    <s v="2025-11-14T16:24:17.401974"/>
  </r>
  <r>
    <x v="2"/>
    <x v="6"/>
    <s v="Производитель/поставщик"/>
    <s v="Электродвигатель 5АИ 160 S8 7,6/750 IM1001"/>
    <n v="48644.4"/>
    <s v="2025-11-14T16:24:17.410075"/>
  </r>
  <r>
    <x v="2"/>
    <x v="6"/>
    <s v="Производитель/поставщик"/>
    <s v="Электродвигатель 5АИ 132 М6 7,6/1000 IM1081"/>
    <n v="36210"/>
    <s v="2025-11-14T16:24:17.456951"/>
  </r>
  <r>
    <x v="2"/>
    <x v="6"/>
    <s v="Производитель/поставщик"/>
    <s v="Электродвигатель 5АИ 132 М6 7,6/1000 IM2081"/>
    <n v="38020.800000000003"/>
    <s v="2025-11-14T16:24:17.472447"/>
  </r>
  <r>
    <x v="2"/>
    <x v="6"/>
    <s v="Производитель/поставщик"/>
    <s v="Электродвигатель 5АИ 250 S8 37/750 IM2001"/>
    <n v="181071.6"/>
    <s v="2025-11-14T16:24:17.488075"/>
  </r>
  <r>
    <x v="2"/>
    <x v="6"/>
    <s v="Производитель/поставщик"/>
    <s v="Электродвигатель 5АИ 112 М2Ж 7,6/3000 IM2089"/>
    <n v="21158.400000000001"/>
    <s v="2025-11-14T16:24:17.503699"/>
  </r>
  <r>
    <x v="2"/>
    <x v="6"/>
    <s v="Производитель/поставщик"/>
    <s v="Электродвигатель 5АИ 80 В2Ж 2,2/3000 IM2081"/>
    <n v="12004.8"/>
    <s v="2025-11-14T16:24:17.692926"/>
  </r>
  <r>
    <x v="2"/>
    <x v="6"/>
    <s v="Производитель/поставщик"/>
    <s v="Электродвигатель 5АИ 100 L2Ж 5,5/3000 IM2081"/>
    <n v="20482.8"/>
    <s v="2025-11-14T16:24:17.722225"/>
  </r>
  <r>
    <x v="2"/>
    <x v="6"/>
    <s v="Производитель/поставщик"/>
    <s v="Электродвигатель 5АИ 100 S2Ж 4/3000 IM2081"/>
    <n v="18988.8"/>
    <s v="2025-11-14T16:24:17.743029"/>
  </r>
  <r>
    <x v="2"/>
    <x v="6"/>
    <s v="Производитель/поставщик"/>
    <s v="Электродвигатель 5АИ 355 М2 315/3000 IM1001"/>
    <n v="792136.8"/>
    <s v="2025-11-14T16:24:17.812762"/>
  </r>
  <r>
    <x v="2"/>
    <x v="6"/>
    <s v="Производитель/поставщик"/>
    <s v="Электродвигатель 5АИ 250 S2 76/3000 IM1001"/>
    <n v="166893.6"/>
    <s v="2025-11-14T16:24:17.840399"/>
  </r>
  <r>
    <x v="2"/>
    <x v="6"/>
    <s v="Производитель/поставщик"/>
    <s v="Электродвигатель 5АИ 250 S2 76/3000 IM2001"/>
    <n v="175238.39999999999"/>
    <s v="2025-11-14T16:24:17.868753"/>
  </r>
  <r>
    <x v="2"/>
    <x v="6"/>
    <s v="Производитель/поставщик"/>
    <s v="Электродвигатель 5АИ 250 S4 76/1500 IM1001"/>
    <n v="177019.2"/>
    <s v="2025-11-14T16:24:17.889260"/>
  </r>
  <r>
    <x v="2"/>
    <x v="6"/>
    <s v="Производитель/поставщик"/>
    <s v="Электродвигатель 5АИ 250 S4 76/1500 IM2001"/>
    <n v="185870.4"/>
    <s v="2025-11-14T16:24:25.355042"/>
  </r>
  <r>
    <x v="2"/>
    <x v="6"/>
    <s v="Производитель/поставщик"/>
    <s v="Электродвигатель 5АИ 50 МА2 0,09/3000 IM1081"/>
    <n v="3782.4"/>
    <s v="2025-11-14T16:24:25.645810"/>
  </r>
  <r>
    <x v="2"/>
    <x v="6"/>
    <s v="Производитель/поставщик"/>
    <s v="Электродвигатель 5АИ 50 МА2 0,09/3000 IM2181"/>
    <n v="3970.8"/>
    <s v="2025-11-14T16:24:25.660673"/>
  </r>
  <r>
    <x v="2"/>
    <x v="6"/>
    <s v="Производитель/поставщик"/>
    <s v="Электродвигатель 5АИ 50 МВ2 0,12/3000 IM1081"/>
    <n v="3566.4"/>
    <s v="2025-11-14T16:24:25.681635"/>
  </r>
  <r>
    <x v="2"/>
    <x v="6"/>
    <s v="Производитель/поставщик"/>
    <s v="Электродвигатель 5АИ 50 МВ2 0,12/3000 IM2181"/>
    <n v="3744"/>
    <s v="2025-11-14T16:24:25.701992"/>
  </r>
  <r>
    <x v="2"/>
    <x v="6"/>
    <s v="Производитель/поставщик"/>
    <s v="Электродвигатель 5АИ 50 МА4 0,06/1500 IM1081"/>
    <n v="3555.6"/>
    <s v="2025-11-14T16:24:25.744016"/>
  </r>
  <r>
    <x v="2"/>
    <x v="6"/>
    <s v="Производитель/поставщик"/>
    <s v="Электродвигатель 5АИ 50 МА4 0,06/1500 IM2081"/>
    <n v="3734.4"/>
    <s v="2025-11-14T16:24:25.763114"/>
  </r>
  <r>
    <x v="2"/>
    <x v="6"/>
    <s v="Производитель/поставщик"/>
    <s v="Электродвигатель ESQ 63 B4-SDN- 0,18/1500 IMB35"/>
    <n v="5235.6000000000004"/>
    <s v="2025-11-14T16:24:25.799606"/>
  </r>
  <r>
    <x v="2"/>
    <x v="6"/>
    <s v="Производитель/поставщик"/>
    <s v="Электродвигатель ESQ 71 A4-SDN- 0,25/1500 IMB35"/>
    <n v="6321.6"/>
    <s v="2025-11-14T16:24:25.820525"/>
  </r>
  <r>
    <x v="2"/>
    <x v="6"/>
    <s v="Производитель/поставщик"/>
    <s v="Электродвигатель ESQ 71 B4-SDN- 0,37/1500 IMB35"/>
    <n v="6926.4"/>
    <s v="2025-11-14T16:24:25.841238"/>
  </r>
  <r>
    <x v="2"/>
    <x v="6"/>
    <s v="Производитель/поставщик"/>
    <s v="Электродвигатель ESQ 80 A4-SDN- 0,55/1500 IMB35"/>
    <n v="8616"/>
    <s v="2025-11-14T16:24:25.861162"/>
  </r>
  <r>
    <x v="2"/>
    <x v="6"/>
    <s v="Производитель/поставщик"/>
    <s v="Электродвигатель ESQ 80 B4-SDN- 0,75/1500 IMB35"/>
    <n v="9288"/>
    <s v="2025-11-14T16:24:25.875954"/>
  </r>
  <r>
    <x v="2"/>
    <x v="6"/>
    <s v="Производитель/поставщик"/>
    <s v="Электродвигатель ESQ 90 S4-SDN- 1,1/1500 IMB35"/>
    <n v="10850.4"/>
    <s v="2025-11-14T16:24:25.896903"/>
  </r>
  <r>
    <x v="2"/>
    <x v="6"/>
    <s v="Производитель/поставщик"/>
    <s v="Электродвигатель ESQ 100 LA4-SDN- 2,2/1500 IMB35"/>
    <n v="16959.599999999999"/>
    <s v="2025-11-14T16:24:25.917511"/>
  </r>
  <r>
    <x v="2"/>
    <x v="6"/>
    <s v="Производитель/поставщик"/>
    <s v="Электродвигатель ESQ 100 LB4-SDN- 3/1500 IMB35"/>
    <n v="18909.599999999999"/>
    <s v="2025-11-14T16:24:25.9382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599C1-D6ED-1142-8059-9F30E4DB7CFA}" name="Сводная таблица2" cacheId="1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1" rowHeaderCaption="Компания" colHeaderCaption="Категория">
  <location ref="A3:F12" firstHeaderRow="1" firstDataRow="2" firstDataCol="1"/>
  <pivotFields count="6">
    <pivotField axis="axisCol" showAll="0">
      <items count="5">
        <item x="0"/>
        <item x="1"/>
        <item x="3"/>
        <item x="2"/>
        <item t="default"/>
      </items>
    </pivotField>
    <pivotField axis="axisRow" showAll="0">
      <items count="8">
        <item x="1"/>
        <item x="5"/>
        <item x="2"/>
        <item x="3"/>
        <item x="6"/>
        <item x="0"/>
        <item x="4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Емкость предложения" fld="3" subtotal="count" baseField="0" baseItem="0"/>
  </dataFields>
  <formats count="1">
    <format dxfId="23">
      <pivotArea type="origin" dataOnly="0" labelOnly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80567-080D-784B-B2DA-717529259CBA}" name="Сводная таблица3" cacheId="1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7" rowHeaderCaption="Категория">
  <location ref="A3:D8" firstHeaderRow="0" firstDataRow="1" firstDataCol="1"/>
  <pivotFields count="6"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редняя цена за шт,  RUB" fld="4" subtotal="average" baseField="0" baseItem="0"/>
    <dataField name="Минимальная цена за шт,  RUB" fld="4" subtotal="min" baseField="0" baseItem="0"/>
    <dataField name="Максимальная цена за шт,  RUB" fld="4" subtotal="max" baseField="0" baseItem="0"/>
  </dataFields>
  <formats count="2">
    <format dxfId="21">
      <pivotArea collapsedLevelsAreSubtotals="1" fieldPosition="0">
        <references count="1">
          <reference field="0" count="0"/>
        </references>
      </pivotArea>
    </format>
    <format dxfId="18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9C086-5403-C043-B26B-2E8382007B2E}" name="Сводная таблица4" cacheId="1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Компания">
  <location ref="A5:B9" firstHeaderRow="1" firstDataRow="1" firstDataCol="1" rowPageCount="1" colPageCount="1"/>
  <pivotFields count="6">
    <pivotField axis="axisPage" multipleItemSelectionAllowed="1" showAll="0">
      <items count="5">
        <item h="1" x="0"/>
        <item h="1" x="1"/>
        <item h="1" x="3"/>
        <item x="2"/>
        <item t="default"/>
      </items>
    </pivotField>
    <pivotField axis="axisRow" showAll="0">
      <items count="8">
        <item x="1"/>
        <item x="5"/>
        <item x="2"/>
        <item x="3"/>
        <item x="6"/>
        <item x="0"/>
        <item x="4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4">
    <i>
      <x v="1"/>
    </i>
    <i>
      <x v="2"/>
    </i>
    <i>
      <x v="4"/>
    </i>
    <i t="grand">
      <x/>
    </i>
  </rowItems>
  <colItems count="1">
    <i/>
  </colItems>
  <pageFields count="1">
    <pageField fld="0" hier="-1"/>
  </pageFields>
  <dataFields count="1">
    <dataField name="Средняя цена за шт, RUB" fld="4" subtotal="average" baseField="0" baseItem="0" numFmtId="4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BA3C3A-4502-1049-94B6-DC505C2D7FAD}" name="Таблица2" displayName="Таблица2" ref="A1:F433" totalsRowShown="0" headerRowDxfId="26" dataDxfId="27" tableBorderDxfId="31">
  <autoFilter ref="A1:F433" xr:uid="{E3BA3C3A-4502-1049-94B6-DC505C2D7FAD}"/>
  <sortState xmlns:xlrd2="http://schemas.microsoft.com/office/spreadsheetml/2017/richdata2" ref="A2:F433">
    <sortCondition descending="1" ref="F1:F433"/>
  </sortState>
  <tableColumns count="6">
    <tableColumn id="1" xr3:uid="{2EC7C6F7-134F-8C48-AB06-553646BC47D8}" name="Категория товаров"/>
    <tableColumn id="2" xr3:uid="{D281F191-A488-3B46-BBE6-098E91D5E3F2}" name="Компания" dataDxfId="30"/>
    <tableColumn id="3" xr3:uid="{12344F93-C98F-2340-8E19-378A1B535DBD}" name="Тип компании" dataDxfId="29"/>
    <tableColumn id="4" xr3:uid="{736E6BE6-89A3-9647-B3B7-2AC9C7F3FDDE}" name="Название продукта" dataDxfId="28"/>
    <tableColumn id="5" xr3:uid="{7D829007-03D3-3849-946E-7A537F767EFD}" name="Цена за шт, RUB" dataDxfId="25"/>
    <tableColumn id="6" xr3:uid="{75525106-A8B3-7E4C-B871-27DCF8F45A0A}" name="Дата сбора данных" dataDxfId="24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9614-2CA8-D149-965B-C91C7BE02B40}">
  <dimension ref="A1:F433"/>
  <sheetViews>
    <sheetView tabSelected="1" workbookViewId="0">
      <selection activeCell="D7" sqref="D7"/>
    </sheetView>
  </sheetViews>
  <sheetFormatPr baseColWidth="10" defaultRowHeight="16" x14ac:dyDescent="0.2"/>
  <cols>
    <col min="1" max="1" width="18.83203125" customWidth="1"/>
    <col min="2" max="2" width="21" customWidth="1"/>
    <col min="3" max="3" width="15.5" customWidth="1"/>
    <col min="4" max="4" width="20.1640625" customWidth="1"/>
    <col min="5" max="5" width="17.1640625" customWidth="1"/>
    <col min="6" max="6" width="26.33203125" customWidth="1"/>
  </cols>
  <sheetData>
    <row r="1" spans="1:6" x14ac:dyDescent="0.2">
      <c r="A1" t="s">
        <v>776</v>
      </c>
      <c r="B1" s="8" t="s">
        <v>779</v>
      </c>
      <c r="C1" s="9" t="s">
        <v>775</v>
      </c>
      <c r="D1" s="9" t="s">
        <v>774</v>
      </c>
      <c r="E1" s="9" t="s">
        <v>772</v>
      </c>
      <c r="F1" s="9" t="s">
        <v>773</v>
      </c>
    </row>
    <row r="2" spans="1:6" x14ac:dyDescent="0.2">
      <c r="A2" t="s">
        <v>274</v>
      </c>
      <c r="B2" s="4" t="s">
        <v>271</v>
      </c>
      <c r="C2" s="5" t="s">
        <v>272</v>
      </c>
      <c r="D2" s="5" t="s">
        <v>294</v>
      </c>
      <c r="E2" s="5">
        <v>38655</v>
      </c>
      <c r="F2" s="10" t="s">
        <v>295</v>
      </c>
    </row>
    <row r="3" spans="1:6" x14ac:dyDescent="0.2">
      <c r="A3" t="s">
        <v>274</v>
      </c>
      <c r="B3" s="4" t="s">
        <v>271</v>
      </c>
      <c r="C3" s="5" t="s">
        <v>272</v>
      </c>
      <c r="D3" s="5" t="s">
        <v>296</v>
      </c>
      <c r="E3" s="5">
        <v>64941</v>
      </c>
      <c r="F3" s="10" t="s">
        <v>295</v>
      </c>
    </row>
    <row r="4" spans="1:6" x14ac:dyDescent="0.2">
      <c r="A4" t="s">
        <v>274</v>
      </c>
      <c r="B4" s="4" t="s">
        <v>271</v>
      </c>
      <c r="C4" s="5" t="s">
        <v>272</v>
      </c>
      <c r="D4" s="5" t="s">
        <v>297</v>
      </c>
      <c r="E4" s="5">
        <v>83935</v>
      </c>
      <c r="F4" s="10" t="s">
        <v>295</v>
      </c>
    </row>
    <row r="5" spans="1:6" x14ac:dyDescent="0.2">
      <c r="A5" t="s">
        <v>274</v>
      </c>
      <c r="B5" s="4" t="s">
        <v>271</v>
      </c>
      <c r="C5" s="5" t="s">
        <v>272</v>
      </c>
      <c r="D5" s="5" t="s">
        <v>290</v>
      </c>
      <c r="E5" s="5">
        <v>15381</v>
      </c>
      <c r="F5" s="10" t="s">
        <v>291</v>
      </c>
    </row>
    <row r="6" spans="1:6" x14ac:dyDescent="0.2">
      <c r="A6" t="s">
        <v>274</v>
      </c>
      <c r="B6" s="4" t="s">
        <v>271</v>
      </c>
      <c r="C6" s="5" t="s">
        <v>272</v>
      </c>
      <c r="D6" s="5" t="s">
        <v>292</v>
      </c>
      <c r="E6" s="5">
        <v>51750</v>
      </c>
      <c r="F6" s="10" t="s">
        <v>291</v>
      </c>
    </row>
    <row r="7" spans="1:6" x14ac:dyDescent="0.2">
      <c r="A7" t="s">
        <v>274</v>
      </c>
      <c r="B7" s="4" t="s">
        <v>271</v>
      </c>
      <c r="C7" s="5" t="s">
        <v>272</v>
      </c>
      <c r="D7" s="5" t="s">
        <v>293</v>
      </c>
      <c r="E7" s="5">
        <v>28302</v>
      </c>
      <c r="F7" s="10" t="s">
        <v>291</v>
      </c>
    </row>
    <row r="8" spans="1:6" x14ac:dyDescent="0.2">
      <c r="A8" t="s">
        <v>274</v>
      </c>
      <c r="B8" s="4" t="s">
        <v>271</v>
      </c>
      <c r="C8" s="5" t="s">
        <v>272</v>
      </c>
      <c r="D8" s="5" t="s">
        <v>288</v>
      </c>
      <c r="E8" s="5">
        <v>10235</v>
      </c>
      <c r="F8" s="10" t="s">
        <v>289</v>
      </c>
    </row>
    <row r="9" spans="1:6" x14ac:dyDescent="0.2">
      <c r="A9" t="s">
        <v>274</v>
      </c>
      <c r="B9" s="4" t="s">
        <v>271</v>
      </c>
      <c r="C9" s="5" t="s">
        <v>272</v>
      </c>
      <c r="D9" s="5" t="s">
        <v>286</v>
      </c>
      <c r="E9" s="5">
        <v>7998</v>
      </c>
      <c r="F9" s="10" t="s">
        <v>287</v>
      </c>
    </row>
    <row r="10" spans="1:6" x14ac:dyDescent="0.2">
      <c r="A10" t="s">
        <v>274</v>
      </c>
      <c r="B10" s="4" t="s">
        <v>271</v>
      </c>
      <c r="C10" s="5" t="s">
        <v>272</v>
      </c>
      <c r="D10" s="5" t="s">
        <v>283</v>
      </c>
      <c r="E10" s="5">
        <v>5291</v>
      </c>
      <c r="F10" s="10" t="s">
        <v>284</v>
      </c>
    </row>
    <row r="11" spans="1:6" x14ac:dyDescent="0.2">
      <c r="A11" t="s">
        <v>274</v>
      </c>
      <c r="B11" s="4" t="s">
        <v>271</v>
      </c>
      <c r="C11" s="5" t="s">
        <v>272</v>
      </c>
      <c r="D11" s="5" t="s">
        <v>285</v>
      </c>
      <c r="E11" s="5">
        <v>6210</v>
      </c>
      <c r="F11" s="10" t="s">
        <v>284</v>
      </c>
    </row>
    <row r="12" spans="1:6" x14ac:dyDescent="0.2">
      <c r="A12" t="s">
        <v>274</v>
      </c>
      <c r="B12" s="4" t="s">
        <v>271</v>
      </c>
      <c r="C12" s="5" t="s">
        <v>272</v>
      </c>
      <c r="D12" s="5" t="s">
        <v>281</v>
      </c>
      <c r="E12" s="5">
        <v>2092</v>
      </c>
      <c r="F12" s="10" t="s">
        <v>282</v>
      </c>
    </row>
    <row r="13" spans="1:6" x14ac:dyDescent="0.2">
      <c r="A13" t="s">
        <v>274</v>
      </c>
      <c r="B13" s="4" t="s">
        <v>271</v>
      </c>
      <c r="C13" s="5" t="s">
        <v>272</v>
      </c>
      <c r="D13" s="5" t="s">
        <v>273</v>
      </c>
      <c r="E13" s="5">
        <v>499</v>
      </c>
      <c r="F13" s="10" t="s">
        <v>275</v>
      </c>
    </row>
    <row r="14" spans="1:6" x14ac:dyDescent="0.2">
      <c r="A14" t="s">
        <v>274</v>
      </c>
      <c r="B14" s="4" t="s">
        <v>271</v>
      </c>
      <c r="C14" s="5" t="s">
        <v>272</v>
      </c>
      <c r="D14" s="5" t="s">
        <v>276</v>
      </c>
      <c r="E14" s="5">
        <v>481</v>
      </c>
      <c r="F14" s="10" t="s">
        <v>275</v>
      </c>
    </row>
    <row r="15" spans="1:6" x14ac:dyDescent="0.2">
      <c r="A15" t="s">
        <v>274</v>
      </c>
      <c r="B15" s="4" t="s">
        <v>271</v>
      </c>
      <c r="C15" s="5" t="s">
        <v>272</v>
      </c>
      <c r="D15" s="5" t="s">
        <v>277</v>
      </c>
      <c r="E15" s="5">
        <v>604</v>
      </c>
      <c r="F15" s="10" t="s">
        <v>275</v>
      </c>
    </row>
    <row r="16" spans="1:6" x14ac:dyDescent="0.2">
      <c r="A16" t="s">
        <v>274</v>
      </c>
      <c r="B16" s="4" t="s">
        <v>271</v>
      </c>
      <c r="C16" s="5" t="s">
        <v>272</v>
      </c>
      <c r="D16" s="5" t="s">
        <v>278</v>
      </c>
      <c r="E16" s="5">
        <v>2070</v>
      </c>
      <c r="F16" s="10" t="s">
        <v>275</v>
      </c>
    </row>
    <row r="17" spans="1:6" x14ac:dyDescent="0.2">
      <c r="A17" t="s">
        <v>274</v>
      </c>
      <c r="B17" s="4" t="s">
        <v>271</v>
      </c>
      <c r="C17" s="5" t="s">
        <v>272</v>
      </c>
      <c r="D17" s="5" t="s">
        <v>279</v>
      </c>
      <c r="E17" s="5">
        <v>1170</v>
      </c>
      <c r="F17" s="10" t="s">
        <v>275</v>
      </c>
    </row>
    <row r="18" spans="1:6" x14ac:dyDescent="0.2">
      <c r="A18" t="s">
        <v>274</v>
      </c>
      <c r="B18" s="4" t="s">
        <v>271</v>
      </c>
      <c r="C18" s="5" t="s">
        <v>272</v>
      </c>
      <c r="D18" s="5" t="s">
        <v>280</v>
      </c>
      <c r="E18" s="5">
        <v>2670</v>
      </c>
      <c r="F18" s="10" t="s">
        <v>275</v>
      </c>
    </row>
    <row r="19" spans="1:6" x14ac:dyDescent="0.2">
      <c r="A19" t="s">
        <v>274</v>
      </c>
      <c r="B19" s="4" t="s">
        <v>298</v>
      </c>
      <c r="C19" s="5" t="s">
        <v>153</v>
      </c>
      <c r="D19" s="5" t="s">
        <v>337</v>
      </c>
      <c r="E19" s="5">
        <v>7402</v>
      </c>
      <c r="F19" s="10" t="s">
        <v>338</v>
      </c>
    </row>
    <row r="20" spans="1:6" x14ac:dyDescent="0.2">
      <c r="A20" t="s">
        <v>274</v>
      </c>
      <c r="B20" s="4" t="s">
        <v>298</v>
      </c>
      <c r="C20" s="5" t="s">
        <v>153</v>
      </c>
      <c r="D20" s="5" t="s">
        <v>334</v>
      </c>
      <c r="E20" s="5">
        <v>3397</v>
      </c>
      <c r="F20" s="10" t="s">
        <v>335</v>
      </c>
    </row>
    <row r="21" spans="1:6" x14ac:dyDescent="0.2">
      <c r="A21" t="s">
        <v>274</v>
      </c>
      <c r="B21" s="4" t="s">
        <v>298</v>
      </c>
      <c r="C21" s="5" t="s">
        <v>153</v>
      </c>
      <c r="D21" s="5" t="s">
        <v>336</v>
      </c>
      <c r="E21" s="5">
        <v>3793</v>
      </c>
      <c r="F21" s="10" t="s">
        <v>335</v>
      </c>
    </row>
    <row r="22" spans="1:6" x14ac:dyDescent="0.2">
      <c r="A22" t="s">
        <v>274</v>
      </c>
      <c r="B22" s="4" t="s">
        <v>298</v>
      </c>
      <c r="C22" s="5" t="s">
        <v>153</v>
      </c>
      <c r="D22" s="5" t="s">
        <v>331</v>
      </c>
      <c r="E22" s="5">
        <v>2622</v>
      </c>
      <c r="F22" s="10" t="s">
        <v>332</v>
      </c>
    </row>
    <row r="23" spans="1:6" x14ac:dyDescent="0.2">
      <c r="A23" t="s">
        <v>274</v>
      </c>
      <c r="B23" s="4" t="s">
        <v>298</v>
      </c>
      <c r="C23" s="5" t="s">
        <v>153</v>
      </c>
      <c r="D23" s="5" t="s">
        <v>333</v>
      </c>
      <c r="E23" s="5">
        <v>3190</v>
      </c>
      <c r="F23" s="10" t="s">
        <v>332</v>
      </c>
    </row>
    <row r="24" spans="1:6" x14ac:dyDescent="0.2">
      <c r="A24" t="s">
        <v>274</v>
      </c>
      <c r="B24" s="4" t="s">
        <v>298</v>
      </c>
      <c r="C24" s="5" t="s">
        <v>153</v>
      </c>
      <c r="D24" s="5" t="s">
        <v>328</v>
      </c>
      <c r="E24" s="5">
        <v>2433</v>
      </c>
      <c r="F24" s="10" t="s">
        <v>329</v>
      </c>
    </row>
    <row r="25" spans="1:6" x14ac:dyDescent="0.2">
      <c r="A25" t="s">
        <v>274</v>
      </c>
      <c r="B25" s="4" t="s">
        <v>298</v>
      </c>
      <c r="C25" s="5" t="s">
        <v>153</v>
      </c>
      <c r="D25" s="5" t="s">
        <v>330</v>
      </c>
      <c r="E25" s="5">
        <v>2488</v>
      </c>
      <c r="F25" s="10" t="s">
        <v>329</v>
      </c>
    </row>
    <row r="26" spans="1:6" x14ac:dyDescent="0.2">
      <c r="A26" t="s">
        <v>274</v>
      </c>
      <c r="B26" s="4" t="s">
        <v>298</v>
      </c>
      <c r="C26" s="5" t="s">
        <v>153</v>
      </c>
      <c r="D26" s="5" t="s">
        <v>325</v>
      </c>
      <c r="E26" s="5">
        <v>2174</v>
      </c>
      <c r="F26" s="10" t="s">
        <v>326</v>
      </c>
    </row>
    <row r="27" spans="1:6" x14ac:dyDescent="0.2">
      <c r="A27" t="s">
        <v>274</v>
      </c>
      <c r="B27" s="4" t="s">
        <v>298</v>
      </c>
      <c r="C27" s="5" t="s">
        <v>153</v>
      </c>
      <c r="D27" s="5" t="s">
        <v>327</v>
      </c>
      <c r="E27" s="5">
        <v>2337</v>
      </c>
      <c r="F27" s="10" t="s">
        <v>326</v>
      </c>
    </row>
    <row r="28" spans="1:6" x14ac:dyDescent="0.2">
      <c r="A28" t="s">
        <v>274</v>
      </c>
      <c r="B28" s="4" t="s">
        <v>298</v>
      </c>
      <c r="C28" s="5" t="s">
        <v>153</v>
      </c>
      <c r="D28" s="5" t="s">
        <v>323</v>
      </c>
      <c r="E28" s="5">
        <v>2106</v>
      </c>
      <c r="F28" s="10" t="s">
        <v>324</v>
      </c>
    </row>
    <row r="29" spans="1:6" x14ac:dyDescent="0.2">
      <c r="A29" t="s">
        <v>274</v>
      </c>
      <c r="B29" s="4" t="s">
        <v>298</v>
      </c>
      <c r="C29" s="5" t="s">
        <v>153</v>
      </c>
      <c r="D29" s="5" t="s">
        <v>321</v>
      </c>
      <c r="E29" s="5">
        <v>1997</v>
      </c>
      <c r="F29" s="10" t="s">
        <v>322</v>
      </c>
    </row>
    <row r="30" spans="1:6" x14ac:dyDescent="0.2">
      <c r="A30" t="s">
        <v>274</v>
      </c>
      <c r="B30" s="4" t="s">
        <v>298</v>
      </c>
      <c r="C30" s="5" t="s">
        <v>153</v>
      </c>
      <c r="D30" s="5" t="s">
        <v>319</v>
      </c>
      <c r="E30" s="5">
        <v>333</v>
      </c>
      <c r="F30" s="10" t="s">
        <v>320</v>
      </c>
    </row>
    <row r="31" spans="1:6" x14ac:dyDescent="0.2">
      <c r="A31" t="s">
        <v>274</v>
      </c>
      <c r="B31" s="4" t="s">
        <v>298</v>
      </c>
      <c r="C31" s="5" t="s">
        <v>153</v>
      </c>
      <c r="D31" s="5" t="s">
        <v>316</v>
      </c>
      <c r="E31" s="5">
        <v>466</v>
      </c>
      <c r="F31" s="10" t="s">
        <v>317</v>
      </c>
    </row>
    <row r="32" spans="1:6" x14ac:dyDescent="0.2">
      <c r="A32" t="s">
        <v>274</v>
      </c>
      <c r="B32" s="4" t="s">
        <v>298</v>
      </c>
      <c r="C32" s="5" t="s">
        <v>153</v>
      </c>
      <c r="D32" s="5" t="s">
        <v>318</v>
      </c>
      <c r="E32" s="5">
        <v>1873</v>
      </c>
      <c r="F32" s="10" t="s">
        <v>317</v>
      </c>
    </row>
    <row r="33" spans="1:6" x14ac:dyDescent="0.2">
      <c r="A33" t="s">
        <v>274</v>
      </c>
      <c r="B33" s="4" t="s">
        <v>298</v>
      </c>
      <c r="C33" s="5" t="s">
        <v>153</v>
      </c>
      <c r="D33" s="5" t="s">
        <v>313</v>
      </c>
      <c r="E33" s="5">
        <v>583</v>
      </c>
      <c r="F33" s="10" t="s">
        <v>314</v>
      </c>
    </row>
    <row r="34" spans="1:6" x14ac:dyDescent="0.2">
      <c r="A34" t="s">
        <v>274</v>
      </c>
      <c r="B34" s="4" t="s">
        <v>298</v>
      </c>
      <c r="C34" s="5" t="s">
        <v>153</v>
      </c>
      <c r="D34" s="5" t="s">
        <v>315</v>
      </c>
      <c r="E34" s="5">
        <v>1782</v>
      </c>
      <c r="F34" s="10" t="s">
        <v>314</v>
      </c>
    </row>
    <row r="35" spans="1:6" x14ac:dyDescent="0.2">
      <c r="A35" t="s">
        <v>274</v>
      </c>
      <c r="B35" s="4" t="s">
        <v>298</v>
      </c>
      <c r="C35" s="5" t="s">
        <v>153</v>
      </c>
      <c r="D35" s="5" t="s">
        <v>310</v>
      </c>
      <c r="E35" s="5">
        <v>147</v>
      </c>
      <c r="F35" s="10" t="s">
        <v>311</v>
      </c>
    </row>
    <row r="36" spans="1:6" x14ac:dyDescent="0.2">
      <c r="A36" t="s">
        <v>274</v>
      </c>
      <c r="B36" s="4" t="s">
        <v>298</v>
      </c>
      <c r="C36" s="5" t="s">
        <v>153</v>
      </c>
      <c r="D36" s="5" t="s">
        <v>312</v>
      </c>
      <c r="E36" s="5">
        <v>1592</v>
      </c>
      <c r="F36" s="10" t="s">
        <v>311</v>
      </c>
    </row>
    <row r="37" spans="1:6" x14ac:dyDescent="0.2">
      <c r="A37" t="s">
        <v>274</v>
      </c>
      <c r="B37" s="4" t="s">
        <v>298</v>
      </c>
      <c r="C37" s="5" t="s">
        <v>153</v>
      </c>
      <c r="D37" s="5" t="s">
        <v>307</v>
      </c>
      <c r="E37" s="5">
        <v>1286</v>
      </c>
      <c r="F37" s="10" t="s">
        <v>308</v>
      </c>
    </row>
    <row r="38" spans="1:6" x14ac:dyDescent="0.2">
      <c r="A38" t="s">
        <v>274</v>
      </c>
      <c r="B38" s="4" t="s">
        <v>298</v>
      </c>
      <c r="C38" s="5" t="s">
        <v>153</v>
      </c>
      <c r="D38" s="5" t="s">
        <v>309</v>
      </c>
      <c r="E38" s="5">
        <v>1452</v>
      </c>
      <c r="F38" s="10" t="s">
        <v>308</v>
      </c>
    </row>
    <row r="39" spans="1:6" x14ac:dyDescent="0.2">
      <c r="A39" t="s">
        <v>274</v>
      </c>
      <c r="B39" s="4" t="s">
        <v>298</v>
      </c>
      <c r="C39" s="5" t="s">
        <v>153</v>
      </c>
      <c r="D39" s="5" t="s">
        <v>305</v>
      </c>
      <c r="E39" s="5">
        <v>1168</v>
      </c>
      <c r="F39" s="10" t="s">
        <v>306</v>
      </c>
    </row>
    <row r="40" spans="1:6" x14ac:dyDescent="0.2">
      <c r="A40" t="s">
        <v>274</v>
      </c>
      <c r="B40" s="4" t="s">
        <v>298</v>
      </c>
      <c r="C40" s="5" t="s">
        <v>153</v>
      </c>
      <c r="D40" s="5" t="s">
        <v>303</v>
      </c>
      <c r="E40" s="5">
        <v>109</v>
      </c>
      <c r="F40" s="10" t="s">
        <v>304</v>
      </c>
    </row>
    <row r="41" spans="1:6" x14ac:dyDescent="0.2">
      <c r="A41" t="s">
        <v>274</v>
      </c>
      <c r="B41" s="4" t="s">
        <v>298</v>
      </c>
      <c r="C41" s="5" t="s">
        <v>153</v>
      </c>
      <c r="D41" s="5" t="s">
        <v>301</v>
      </c>
      <c r="E41" s="5">
        <v>1039</v>
      </c>
      <c r="F41" s="10" t="s">
        <v>302</v>
      </c>
    </row>
    <row r="42" spans="1:6" x14ac:dyDescent="0.2">
      <c r="A42" t="s">
        <v>274</v>
      </c>
      <c r="B42" s="4" t="s">
        <v>298</v>
      </c>
      <c r="C42" s="5" t="s">
        <v>153</v>
      </c>
      <c r="D42" s="5" t="s">
        <v>299</v>
      </c>
      <c r="E42" s="5">
        <v>64</v>
      </c>
      <c r="F42" s="10" t="s">
        <v>300</v>
      </c>
    </row>
    <row r="43" spans="1:6" x14ac:dyDescent="0.2">
      <c r="A43" t="s">
        <v>198</v>
      </c>
      <c r="B43" s="4" t="s">
        <v>374</v>
      </c>
      <c r="C43" s="5" t="s">
        <v>272</v>
      </c>
      <c r="D43" s="5" t="s">
        <v>769</v>
      </c>
      <c r="E43" s="5">
        <v>18909.599999999999</v>
      </c>
      <c r="F43" s="10" t="s">
        <v>770</v>
      </c>
    </row>
    <row r="44" spans="1:6" x14ac:dyDescent="0.2">
      <c r="A44" t="s">
        <v>198</v>
      </c>
      <c r="B44" s="4" t="s">
        <v>374</v>
      </c>
      <c r="C44" s="5" t="s">
        <v>272</v>
      </c>
      <c r="D44" s="5" t="s">
        <v>767</v>
      </c>
      <c r="E44" s="5">
        <v>16959.599999999999</v>
      </c>
      <c r="F44" s="10" t="s">
        <v>768</v>
      </c>
    </row>
    <row r="45" spans="1:6" x14ac:dyDescent="0.2">
      <c r="A45" t="s">
        <v>198</v>
      </c>
      <c r="B45" s="4" t="s">
        <v>374</v>
      </c>
      <c r="C45" s="5" t="s">
        <v>272</v>
      </c>
      <c r="D45" s="5" t="s">
        <v>765</v>
      </c>
      <c r="E45" s="5">
        <v>10850.4</v>
      </c>
      <c r="F45" s="10" t="s">
        <v>766</v>
      </c>
    </row>
    <row r="46" spans="1:6" x14ac:dyDescent="0.2">
      <c r="A46" t="s">
        <v>198</v>
      </c>
      <c r="B46" s="4" t="s">
        <v>374</v>
      </c>
      <c r="C46" s="5" t="s">
        <v>272</v>
      </c>
      <c r="D46" s="5" t="s">
        <v>763</v>
      </c>
      <c r="E46" s="5">
        <v>9288</v>
      </c>
      <c r="F46" s="10" t="s">
        <v>764</v>
      </c>
    </row>
    <row r="47" spans="1:6" x14ac:dyDescent="0.2">
      <c r="A47" t="s">
        <v>198</v>
      </c>
      <c r="B47" s="4" t="s">
        <v>374</v>
      </c>
      <c r="C47" s="5" t="s">
        <v>272</v>
      </c>
      <c r="D47" s="5" t="s">
        <v>761</v>
      </c>
      <c r="E47" s="5">
        <v>8616</v>
      </c>
      <c r="F47" s="10" t="s">
        <v>762</v>
      </c>
    </row>
    <row r="48" spans="1:6" x14ac:dyDescent="0.2">
      <c r="A48" t="s">
        <v>198</v>
      </c>
      <c r="B48" s="4" t="s">
        <v>374</v>
      </c>
      <c r="C48" s="5" t="s">
        <v>272</v>
      </c>
      <c r="D48" s="5" t="s">
        <v>759</v>
      </c>
      <c r="E48" s="5">
        <v>6926.4</v>
      </c>
      <c r="F48" s="10" t="s">
        <v>760</v>
      </c>
    </row>
    <row r="49" spans="1:6" x14ac:dyDescent="0.2">
      <c r="A49" t="s">
        <v>198</v>
      </c>
      <c r="B49" s="4" t="s">
        <v>374</v>
      </c>
      <c r="C49" s="5" t="s">
        <v>272</v>
      </c>
      <c r="D49" s="5" t="s">
        <v>757</v>
      </c>
      <c r="E49" s="5">
        <v>6321.6</v>
      </c>
      <c r="F49" s="10" t="s">
        <v>758</v>
      </c>
    </row>
    <row r="50" spans="1:6" x14ac:dyDescent="0.2">
      <c r="A50" t="s">
        <v>198</v>
      </c>
      <c r="B50" s="4" t="s">
        <v>374</v>
      </c>
      <c r="C50" s="5" t="s">
        <v>272</v>
      </c>
      <c r="D50" s="5" t="s">
        <v>755</v>
      </c>
      <c r="E50" s="5">
        <v>5235.6000000000004</v>
      </c>
      <c r="F50" s="10" t="s">
        <v>756</v>
      </c>
    </row>
    <row r="51" spans="1:6" x14ac:dyDescent="0.2">
      <c r="A51" t="s">
        <v>198</v>
      </c>
      <c r="B51" s="4" t="s">
        <v>374</v>
      </c>
      <c r="C51" s="5" t="s">
        <v>272</v>
      </c>
      <c r="D51" s="5" t="s">
        <v>753</v>
      </c>
      <c r="E51" s="5">
        <v>3734.4</v>
      </c>
      <c r="F51" s="10" t="s">
        <v>754</v>
      </c>
    </row>
    <row r="52" spans="1:6" x14ac:dyDescent="0.2">
      <c r="A52" t="s">
        <v>198</v>
      </c>
      <c r="B52" s="4" t="s">
        <v>374</v>
      </c>
      <c r="C52" s="5" t="s">
        <v>272</v>
      </c>
      <c r="D52" s="5" t="s">
        <v>751</v>
      </c>
      <c r="E52" s="5">
        <v>3555.6</v>
      </c>
      <c r="F52" s="10" t="s">
        <v>752</v>
      </c>
    </row>
    <row r="53" spans="1:6" x14ac:dyDescent="0.2">
      <c r="A53" t="s">
        <v>198</v>
      </c>
      <c r="B53" s="4" t="s">
        <v>374</v>
      </c>
      <c r="C53" s="5" t="s">
        <v>272</v>
      </c>
      <c r="D53" s="5" t="s">
        <v>749</v>
      </c>
      <c r="E53" s="5">
        <v>3744</v>
      </c>
      <c r="F53" s="10" t="s">
        <v>750</v>
      </c>
    </row>
    <row r="54" spans="1:6" x14ac:dyDescent="0.2">
      <c r="A54" t="s">
        <v>198</v>
      </c>
      <c r="B54" s="4" t="s">
        <v>374</v>
      </c>
      <c r="C54" s="5" t="s">
        <v>272</v>
      </c>
      <c r="D54" s="5" t="s">
        <v>747</v>
      </c>
      <c r="E54" s="5">
        <v>3566.4</v>
      </c>
      <c r="F54" s="10" t="s">
        <v>748</v>
      </c>
    </row>
    <row r="55" spans="1:6" x14ac:dyDescent="0.2">
      <c r="A55" t="s">
        <v>198</v>
      </c>
      <c r="B55" s="4" t="s">
        <v>374</v>
      </c>
      <c r="C55" s="5" t="s">
        <v>272</v>
      </c>
      <c r="D55" s="5" t="s">
        <v>745</v>
      </c>
      <c r="E55" s="5">
        <v>3970.8</v>
      </c>
      <c r="F55" s="10" t="s">
        <v>746</v>
      </c>
    </row>
    <row r="56" spans="1:6" x14ac:dyDescent="0.2">
      <c r="A56" t="s">
        <v>198</v>
      </c>
      <c r="B56" s="4" t="s">
        <v>374</v>
      </c>
      <c r="C56" s="5" t="s">
        <v>272</v>
      </c>
      <c r="D56" s="5" t="s">
        <v>743</v>
      </c>
      <c r="E56" s="5">
        <v>3782.4</v>
      </c>
      <c r="F56" s="10" t="s">
        <v>744</v>
      </c>
    </row>
    <row r="57" spans="1:6" x14ac:dyDescent="0.2">
      <c r="A57" t="s">
        <v>198</v>
      </c>
      <c r="B57" s="4" t="s">
        <v>374</v>
      </c>
      <c r="C57" s="5" t="s">
        <v>272</v>
      </c>
      <c r="D57" s="5" t="s">
        <v>741</v>
      </c>
      <c r="E57" s="5">
        <v>185870.4</v>
      </c>
      <c r="F57" s="10" t="s">
        <v>742</v>
      </c>
    </row>
    <row r="58" spans="1:6" x14ac:dyDescent="0.2">
      <c r="A58" t="s">
        <v>198</v>
      </c>
      <c r="B58" s="4" t="s">
        <v>374</v>
      </c>
      <c r="C58" s="5" t="s">
        <v>272</v>
      </c>
      <c r="D58" s="5" t="s">
        <v>739</v>
      </c>
      <c r="E58" s="5">
        <v>177019.2</v>
      </c>
      <c r="F58" s="10" t="s">
        <v>740</v>
      </c>
    </row>
    <row r="59" spans="1:6" x14ac:dyDescent="0.2">
      <c r="A59" t="s">
        <v>198</v>
      </c>
      <c r="B59" s="4" t="s">
        <v>374</v>
      </c>
      <c r="C59" s="5" t="s">
        <v>272</v>
      </c>
      <c r="D59" s="5" t="s">
        <v>737</v>
      </c>
      <c r="E59" s="5">
        <v>175238.39999999999</v>
      </c>
      <c r="F59" s="10" t="s">
        <v>738</v>
      </c>
    </row>
    <row r="60" spans="1:6" x14ac:dyDescent="0.2">
      <c r="A60" t="s">
        <v>198</v>
      </c>
      <c r="B60" s="4" t="s">
        <v>374</v>
      </c>
      <c r="C60" s="5" t="s">
        <v>272</v>
      </c>
      <c r="D60" s="5" t="s">
        <v>735</v>
      </c>
      <c r="E60" s="5">
        <v>166893.6</v>
      </c>
      <c r="F60" s="10" t="s">
        <v>736</v>
      </c>
    </row>
    <row r="61" spans="1:6" x14ac:dyDescent="0.2">
      <c r="A61" t="s">
        <v>198</v>
      </c>
      <c r="B61" s="4" t="s">
        <v>374</v>
      </c>
      <c r="C61" s="5" t="s">
        <v>272</v>
      </c>
      <c r="D61" s="5" t="s">
        <v>733</v>
      </c>
      <c r="E61" s="5">
        <v>792136.8</v>
      </c>
      <c r="F61" s="10" t="s">
        <v>734</v>
      </c>
    </row>
    <row r="62" spans="1:6" x14ac:dyDescent="0.2">
      <c r="A62" t="s">
        <v>198</v>
      </c>
      <c r="B62" s="4" t="s">
        <v>374</v>
      </c>
      <c r="C62" s="5" t="s">
        <v>272</v>
      </c>
      <c r="D62" s="5" t="s">
        <v>731</v>
      </c>
      <c r="E62" s="5">
        <v>18988.8</v>
      </c>
      <c r="F62" s="10" t="s">
        <v>732</v>
      </c>
    </row>
    <row r="63" spans="1:6" x14ac:dyDescent="0.2">
      <c r="A63" t="s">
        <v>198</v>
      </c>
      <c r="B63" s="4" t="s">
        <v>374</v>
      </c>
      <c r="C63" s="5" t="s">
        <v>272</v>
      </c>
      <c r="D63" s="5" t="s">
        <v>729</v>
      </c>
      <c r="E63" s="5">
        <v>20482.8</v>
      </c>
      <c r="F63" s="10" t="s">
        <v>730</v>
      </c>
    </row>
    <row r="64" spans="1:6" x14ac:dyDescent="0.2">
      <c r="A64" t="s">
        <v>198</v>
      </c>
      <c r="B64" s="4" t="s">
        <v>374</v>
      </c>
      <c r="C64" s="5" t="s">
        <v>272</v>
      </c>
      <c r="D64" s="5" t="s">
        <v>727</v>
      </c>
      <c r="E64" s="5">
        <v>12004.8</v>
      </c>
      <c r="F64" s="10" t="s">
        <v>728</v>
      </c>
    </row>
    <row r="65" spans="1:6" x14ac:dyDescent="0.2">
      <c r="A65" t="s">
        <v>198</v>
      </c>
      <c r="B65" s="4" t="s">
        <v>374</v>
      </c>
      <c r="C65" s="5" t="s">
        <v>272</v>
      </c>
      <c r="D65" s="5" t="s">
        <v>725</v>
      </c>
      <c r="E65" s="5">
        <v>21158.400000000001</v>
      </c>
      <c r="F65" s="10" t="s">
        <v>726</v>
      </c>
    </row>
    <row r="66" spans="1:6" x14ac:dyDescent="0.2">
      <c r="A66" t="s">
        <v>198</v>
      </c>
      <c r="B66" s="4" t="s">
        <v>374</v>
      </c>
      <c r="C66" s="5" t="s">
        <v>272</v>
      </c>
      <c r="D66" s="5" t="s">
        <v>723</v>
      </c>
      <c r="E66" s="5">
        <v>181071.6</v>
      </c>
      <c r="F66" s="10" t="s">
        <v>724</v>
      </c>
    </row>
    <row r="67" spans="1:6" x14ac:dyDescent="0.2">
      <c r="A67" t="s">
        <v>198</v>
      </c>
      <c r="B67" s="4" t="s">
        <v>374</v>
      </c>
      <c r="C67" s="5" t="s">
        <v>272</v>
      </c>
      <c r="D67" s="5" t="s">
        <v>721</v>
      </c>
      <c r="E67" s="5">
        <v>38020.800000000003</v>
      </c>
      <c r="F67" s="10" t="s">
        <v>722</v>
      </c>
    </row>
    <row r="68" spans="1:6" x14ac:dyDescent="0.2">
      <c r="A68" t="s">
        <v>198</v>
      </c>
      <c r="B68" s="4" t="s">
        <v>374</v>
      </c>
      <c r="C68" s="5" t="s">
        <v>272</v>
      </c>
      <c r="D68" s="5" t="s">
        <v>719</v>
      </c>
      <c r="E68" s="5">
        <v>36210</v>
      </c>
      <c r="F68" s="10" t="s">
        <v>720</v>
      </c>
    </row>
    <row r="69" spans="1:6" x14ac:dyDescent="0.2">
      <c r="A69" t="s">
        <v>198</v>
      </c>
      <c r="B69" s="4" t="s">
        <v>374</v>
      </c>
      <c r="C69" s="5" t="s">
        <v>272</v>
      </c>
      <c r="D69" s="5" t="s">
        <v>717</v>
      </c>
      <c r="E69" s="5">
        <v>48644.4</v>
      </c>
      <c r="F69" s="10" t="s">
        <v>718</v>
      </c>
    </row>
    <row r="70" spans="1:6" x14ac:dyDescent="0.2">
      <c r="A70" t="s">
        <v>198</v>
      </c>
      <c r="B70" s="4" t="s">
        <v>374</v>
      </c>
      <c r="C70" s="5" t="s">
        <v>272</v>
      </c>
      <c r="D70" s="5" t="s">
        <v>715</v>
      </c>
      <c r="E70" s="5">
        <v>32079.599999999999</v>
      </c>
      <c r="F70" s="10" t="s">
        <v>716</v>
      </c>
    </row>
    <row r="71" spans="1:6" x14ac:dyDescent="0.2">
      <c r="A71" t="s">
        <v>198</v>
      </c>
      <c r="B71" s="4" t="s">
        <v>374</v>
      </c>
      <c r="C71" s="5" t="s">
        <v>272</v>
      </c>
      <c r="D71" s="5" t="s">
        <v>713</v>
      </c>
      <c r="E71" s="5">
        <v>30552</v>
      </c>
      <c r="F71" s="10" t="s">
        <v>714</v>
      </c>
    </row>
    <row r="72" spans="1:6" x14ac:dyDescent="0.2">
      <c r="A72" t="s">
        <v>198</v>
      </c>
      <c r="B72" s="4" t="s">
        <v>374</v>
      </c>
      <c r="C72" s="5" t="s">
        <v>272</v>
      </c>
      <c r="D72" s="5" t="s">
        <v>711</v>
      </c>
      <c r="E72" s="5">
        <v>327733.2</v>
      </c>
      <c r="F72" s="10" t="s">
        <v>712</v>
      </c>
    </row>
    <row r="73" spans="1:6" x14ac:dyDescent="0.2">
      <c r="A73" t="s">
        <v>198</v>
      </c>
      <c r="B73" s="4" t="s">
        <v>374</v>
      </c>
      <c r="C73" s="5" t="s">
        <v>272</v>
      </c>
      <c r="D73" s="5" t="s">
        <v>709</v>
      </c>
      <c r="E73" s="5">
        <v>455049.6</v>
      </c>
      <c r="F73" s="10" t="s">
        <v>710</v>
      </c>
    </row>
    <row r="74" spans="1:6" x14ac:dyDescent="0.2">
      <c r="A74" t="s">
        <v>198</v>
      </c>
      <c r="B74" s="4" t="s">
        <v>374</v>
      </c>
      <c r="C74" s="5" t="s">
        <v>272</v>
      </c>
      <c r="D74" s="5" t="s">
        <v>707</v>
      </c>
      <c r="E74" s="5">
        <v>317372.40000000002</v>
      </c>
      <c r="F74" s="10" t="s">
        <v>708</v>
      </c>
    </row>
    <row r="75" spans="1:6" x14ac:dyDescent="0.2">
      <c r="A75" t="s">
        <v>198</v>
      </c>
      <c r="B75" s="4" t="s">
        <v>374</v>
      </c>
      <c r="C75" s="5" t="s">
        <v>272</v>
      </c>
      <c r="D75" s="5" t="s">
        <v>705</v>
      </c>
      <c r="E75" s="5">
        <v>23358</v>
      </c>
      <c r="F75" s="10" t="s">
        <v>706</v>
      </c>
    </row>
    <row r="76" spans="1:6" x14ac:dyDescent="0.2">
      <c r="A76" t="s">
        <v>198</v>
      </c>
      <c r="B76" s="4" t="s">
        <v>374</v>
      </c>
      <c r="C76" s="5" t="s">
        <v>272</v>
      </c>
      <c r="D76" s="5" t="s">
        <v>703</v>
      </c>
      <c r="E76" s="5">
        <v>22245.599999999999</v>
      </c>
      <c r="F76" s="10" t="s">
        <v>704</v>
      </c>
    </row>
    <row r="77" spans="1:6" x14ac:dyDescent="0.2">
      <c r="A77" t="s">
        <v>198</v>
      </c>
      <c r="B77" s="4" t="s">
        <v>374</v>
      </c>
      <c r="C77" s="5" t="s">
        <v>272</v>
      </c>
      <c r="D77" s="5" t="s">
        <v>701</v>
      </c>
      <c r="E77" s="5">
        <v>275313.59999999998</v>
      </c>
      <c r="F77" s="10" t="s">
        <v>702</v>
      </c>
    </row>
    <row r="78" spans="1:6" x14ac:dyDescent="0.2">
      <c r="A78" t="s">
        <v>198</v>
      </c>
      <c r="B78" s="4" t="s">
        <v>374</v>
      </c>
      <c r="C78" s="5" t="s">
        <v>272</v>
      </c>
      <c r="D78" s="5" t="s">
        <v>699</v>
      </c>
      <c r="E78" s="5">
        <v>302259.59999999998</v>
      </c>
      <c r="F78" s="10" t="s">
        <v>700</v>
      </c>
    </row>
    <row r="79" spans="1:6" x14ac:dyDescent="0.2">
      <c r="A79" t="s">
        <v>198</v>
      </c>
      <c r="B79" s="4" t="s">
        <v>374</v>
      </c>
      <c r="C79" s="5" t="s">
        <v>272</v>
      </c>
      <c r="D79" s="5" t="s">
        <v>697</v>
      </c>
      <c r="E79" s="5">
        <v>312126</v>
      </c>
      <c r="F79" s="10" t="s">
        <v>698</v>
      </c>
    </row>
    <row r="80" spans="1:6" x14ac:dyDescent="0.2">
      <c r="A80" t="s">
        <v>198</v>
      </c>
      <c r="B80" s="4" t="s">
        <v>374</v>
      </c>
      <c r="C80" s="5" t="s">
        <v>272</v>
      </c>
      <c r="D80" s="5" t="s">
        <v>695</v>
      </c>
      <c r="E80" s="5">
        <v>231645.6</v>
      </c>
      <c r="F80" s="10" t="s">
        <v>696</v>
      </c>
    </row>
    <row r="81" spans="1:6" x14ac:dyDescent="0.2">
      <c r="A81" t="s">
        <v>198</v>
      </c>
      <c r="B81" s="4" t="s">
        <v>374</v>
      </c>
      <c r="C81" s="5" t="s">
        <v>272</v>
      </c>
      <c r="D81" s="5" t="s">
        <v>693</v>
      </c>
      <c r="E81" s="5">
        <v>273993.59999999998</v>
      </c>
      <c r="F81" s="10" t="s">
        <v>694</v>
      </c>
    </row>
    <row r="82" spans="1:6" x14ac:dyDescent="0.2">
      <c r="A82" t="s">
        <v>198</v>
      </c>
      <c r="B82" s="4" t="s">
        <v>374</v>
      </c>
      <c r="C82" s="5" t="s">
        <v>272</v>
      </c>
      <c r="D82" s="5" t="s">
        <v>691</v>
      </c>
      <c r="E82" s="5">
        <v>209864.4</v>
      </c>
      <c r="F82" s="10" t="s">
        <v>692</v>
      </c>
    </row>
    <row r="83" spans="1:6" x14ac:dyDescent="0.2">
      <c r="A83" t="s">
        <v>198</v>
      </c>
      <c r="B83" s="4" t="s">
        <v>374</v>
      </c>
      <c r="C83" s="5" t="s">
        <v>272</v>
      </c>
      <c r="D83" s="5" t="s">
        <v>689</v>
      </c>
      <c r="E83" s="5">
        <v>220357.2</v>
      </c>
      <c r="F83" s="10" t="s">
        <v>690</v>
      </c>
    </row>
    <row r="84" spans="1:6" x14ac:dyDescent="0.2">
      <c r="A84" t="s">
        <v>198</v>
      </c>
      <c r="B84" s="4" t="s">
        <v>374</v>
      </c>
      <c r="C84" s="5" t="s">
        <v>272</v>
      </c>
      <c r="D84" s="5" t="s">
        <v>687</v>
      </c>
      <c r="E84" s="5">
        <v>172449.6</v>
      </c>
      <c r="F84" s="10" t="s">
        <v>688</v>
      </c>
    </row>
    <row r="85" spans="1:6" x14ac:dyDescent="0.2">
      <c r="A85" t="s">
        <v>198</v>
      </c>
      <c r="B85" s="4" t="s">
        <v>374</v>
      </c>
      <c r="C85" s="5" t="s">
        <v>272</v>
      </c>
      <c r="D85" s="5" t="s">
        <v>685</v>
      </c>
      <c r="E85" s="5">
        <v>192013.6</v>
      </c>
      <c r="F85" s="10" t="s">
        <v>686</v>
      </c>
    </row>
    <row r="86" spans="1:6" x14ac:dyDescent="0.2">
      <c r="A86" t="s">
        <v>198</v>
      </c>
      <c r="B86" s="4" t="s">
        <v>374</v>
      </c>
      <c r="C86" s="5" t="s">
        <v>272</v>
      </c>
      <c r="D86" s="5" t="s">
        <v>683</v>
      </c>
      <c r="E86" s="5">
        <v>181917.6</v>
      </c>
      <c r="F86" s="10" t="s">
        <v>684</v>
      </c>
    </row>
    <row r="87" spans="1:6" x14ac:dyDescent="0.2">
      <c r="A87" t="s">
        <v>198</v>
      </c>
      <c r="B87" s="4" t="s">
        <v>374</v>
      </c>
      <c r="C87" s="5" t="s">
        <v>272</v>
      </c>
      <c r="D87" s="5" t="s">
        <v>681</v>
      </c>
      <c r="E87" s="5">
        <v>157958.39999999999</v>
      </c>
      <c r="F87" s="10" t="s">
        <v>682</v>
      </c>
    </row>
    <row r="88" spans="1:6" x14ac:dyDescent="0.2">
      <c r="A88" t="s">
        <v>198</v>
      </c>
      <c r="B88" s="4" t="s">
        <v>374</v>
      </c>
      <c r="C88" s="5" t="s">
        <v>272</v>
      </c>
      <c r="D88" s="5" t="s">
        <v>679</v>
      </c>
      <c r="E88" s="5">
        <v>216856.8</v>
      </c>
      <c r="F88" s="10" t="s">
        <v>680</v>
      </c>
    </row>
    <row r="89" spans="1:6" x14ac:dyDescent="0.2">
      <c r="A89" t="s">
        <v>198</v>
      </c>
      <c r="B89" s="4" t="s">
        <v>374</v>
      </c>
      <c r="C89" s="5" t="s">
        <v>272</v>
      </c>
      <c r="D89" s="5" t="s">
        <v>677</v>
      </c>
      <c r="E89" s="5">
        <v>206529.6</v>
      </c>
      <c r="F89" s="10" t="s">
        <v>678</v>
      </c>
    </row>
    <row r="90" spans="1:6" x14ac:dyDescent="0.2">
      <c r="A90" t="s">
        <v>198</v>
      </c>
      <c r="B90" s="4" t="s">
        <v>374</v>
      </c>
      <c r="C90" s="5" t="s">
        <v>272</v>
      </c>
      <c r="D90" s="5" t="s">
        <v>675</v>
      </c>
      <c r="E90" s="5">
        <v>203763.6</v>
      </c>
      <c r="F90" s="10" t="s">
        <v>676</v>
      </c>
    </row>
    <row r="91" spans="1:6" x14ac:dyDescent="0.2">
      <c r="A91" t="s">
        <v>198</v>
      </c>
      <c r="B91" s="4" t="s">
        <v>374</v>
      </c>
      <c r="C91" s="5" t="s">
        <v>272</v>
      </c>
      <c r="D91" s="5" t="s">
        <v>673</v>
      </c>
      <c r="E91" s="5">
        <v>194060.4</v>
      </c>
      <c r="F91" s="10" t="s">
        <v>674</v>
      </c>
    </row>
    <row r="92" spans="1:6" x14ac:dyDescent="0.2">
      <c r="A92" t="s">
        <v>198</v>
      </c>
      <c r="B92" s="4" t="s">
        <v>374</v>
      </c>
      <c r="C92" s="5" t="s">
        <v>272</v>
      </c>
      <c r="D92" s="5" t="s">
        <v>671</v>
      </c>
      <c r="E92" s="5">
        <v>78301.2</v>
      </c>
      <c r="F92" s="10" t="s">
        <v>672</v>
      </c>
    </row>
    <row r="93" spans="1:6" x14ac:dyDescent="0.2">
      <c r="A93" t="s">
        <v>198</v>
      </c>
      <c r="B93" s="4" t="s">
        <v>374</v>
      </c>
      <c r="C93" s="5" t="s">
        <v>272</v>
      </c>
      <c r="D93" s="5" t="s">
        <v>669</v>
      </c>
      <c r="E93" s="5">
        <v>35004</v>
      </c>
      <c r="F93" s="10" t="s">
        <v>670</v>
      </c>
    </row>
    <row r="94" spans="1:6" x14ac:dyDescent="0.2">
      <c r="A94" t="s">
        <v>198</v>
      </c>
      <c r="B94" s="4" t="s">
        <v>374</v>
      </c>
      <c r="C94" s="5" t="s">
        <v>272</v>
      </c>
      <c r="D94" s="5" t="s">
        <v>667</v>
      </c>
      <c r="E94" s="5">
        <v>33337.199999999997</v>
      </c>
      <c r="F94" s="10" t="s">
        <v>668</v>
      </c>
    </row>
    <row r="95" spans="1:6" x14ac:dyDescent="0.2">
      <c r="A95" t="s">
        <v>198</v>
      </c>
      <c r="B95" s="4" t="s">
        <v>374</v>
      </c>
      <c r="C95" s="5" t="s">
        <v>272</v>
      </c>
      <c r="D95" s="5" t="s">
        <v>665</v>
      </c>
      <c r="E95" s="5">
        <v>29611.200000000001</v>
      </c>
      <c r="F95" s="10" t="s">
        <v>666</v>
      </c>
    </row>
    <row r="96" spans="1:6" x14ac:dyDescent="0.2">
      <c r="A96" t="s">
        <v>198</v>
      </c>
      <c r="B96" s="4" t="s">
        <v>374</v>
      </c>
      <c r="C96" s="5" t="s">
        <v>272</v>
      </c>
      <c r="D96" s="5" t="s">
        <v>663</v>
      </c>
      <c r="E96" s="5">
        <v>28201.200000000001</v>
      </c>
      <c r="F96" s="10" t="s">
        <v>664</v>
      </c>
    </row>
    <row r="97" spans="1:6" x14ac:dyDescent="0.2">
      <c r="A97" t="s">
        <v>198</v>
      </c>
      <c r="B97" s="4" t="s">
        <v>374</v>
      </c>
      <c r="C97" s="5" t="s">
        <v>272</v>
      </c>
      <c r="D97" s="5" t="s">
        <v>661</v>
      </c>
      <c r="E97" s="5">
        <v>23754</v>
      </c>
      <c r="F97" s="10" t="s">
        <v>662</v>
      </c>
    </row>
    <row r="98" spans="1:6" x14ac:dyDescent="0.2">
      <c r="A98" t="s">
        <v>198</v>
      </c>
      <c r="B98" s="4" t="s">
        <v>374</v>
      </c>
      <c r="C98" s="5" t="s">
        <v>272</v>
      </c>
      <c r="D98" s="5" t="s">
        <v>659</v>
      </c>
      <c r="E98" s="5">
        <v>22096.799999999999</v>
      </c>
      <c r="F98" s="10" t="s">
        <v>660</v>
      </c>
    </row>
    <row r="99" spans="1:6" x14ac:dyDescent="0.2">
      <c r="A99" t="s">
        <v>198</v>
      </c>
      <c r="B99" s="4" t="s">
        <v>374</v>
      </c>
      <c r="C99" s="5" t="s">
        <v>272</v>
      </c>
      <c r="D99" s="5" t="s">
        <v>657</v>
      </c>
      <c r="E99" s="5">
        <v>21044.400000000001</v>
      </c>
      <c r="F99" s="10" t="s">
        <v>658</v>
      </c>
    </row>
    <row r="100" spans="1:6" x14ac:dyDescent="0.2">
      <c r="A100" t="s">
        <v>198</v>
      </c>
      <c r="B100" s="4" t="s">
        <v>374</v>
      </c>
      <c r="C100" s="5" t="s">
        <v>272</v>
      </c>
      <c r="D100" s="5" t="s">
        <v>655</v>
      </c>
      <c r="E100" s="5">
        <v>24075.599999999999</v>
      </c>
      <c r="F100" s="10" t="s">
        <v>656</v>
      </c>
    </row>
    <row r="101" spans="1:6" x14ac:dyDescent="0.2">
      <c r="A101" t="s">
        <v>198</v>
      </c>
      <c r="B101" s="4" t="s">
        <v>374</v>
      </c>
      <c r="C101" s="5" t="s">
        <v>272</v>
      </c>
      <c r="D101" s="5" t="s">
        <v>653</v>
      </c>
      <c r="E101" s="5">
        <v>22929.599999999999</v>
      </c>
      <c r="F101" s="10" t="s">
        <v>654</v>
      </c>
    </row>
    <row r="102" spans="1:6" x14ac:dyDescent="0.2">
      <c r="A102" t="s">
        <v>198</v>
      </c>
      <c r="B102" s="4" t="s">
        <v>374</v>
      </c>
      <c r="C102" s="5" t="s">
        <v>272</v>
      </c>
      <c r="D102" s="5" t="s">
        <v>651</v>
      </c>
      <c r="E102" s="5">
        <v>6354</v>
      </c>
      <c r="F102" s="10" t="s">
        <v>652</v>
      </c>
    </row>
    <row r="103" spans="1:6" x14ac:dyDescent="0.2">
      <c r="A103" t="s">
        <v>198</v>
      </c>
      <c r="B103" s="4" t="s">
        <v>374</v>
      </c>
      <c r="C103" s="5" t="s">
        <v>272</v>
      </c>
      <c r="D103" s="5" t="s">
        <v>649</v>
      </c>
      <c r="E103" s="5">
        <v>228997.2</v>
      </c>
      <c r="F103" s="10" t="s">
        <v>650</v>
      </c>
    </row>
    <row r="104" spans="1:6" x14ac:dyDescent="0.2">
      <c r="A104" t="s">
        <v>198</v>
      </c>
      <c r="B104" s="4" t="s">
        <v>374</v>
      </c>
      <c r="C104" s="5" t="s">
        <v>272</v>
      </c>
      <c r="D104" s="5" t="s">
        <v>647</v>
      </c>
      <c r="E104" s="5">
        <v>232074</v>
      </c>
      <c r="F104" s="10" t="s">
        <v>648</v>
      </c>
    </row>
    <row r="105" spans="1:6" x14ac:dyDescent="0.2">
      <c r="A105" t="s">
        <v>198</v>
      </c>
      <c r="B105" s="4" t="s">
        <v>374</v>
      </c>
      <c r="C105" s="5" t="s">
        <v>272</v>
      </c>
      <c r="D105" s="5" t="s">
        <v>645</v>
      </c>
      <c r="E105" s="5">
        <v>57381.599999999999</v>
      </c>
      <c r="F105" s="10" t="s">
        <v>646</v>
      </c>
    </row>
    <row r="106" spans="1:6" x14ac:dyDescent="0.2">
      <c r="A106" t="s">
        <v>198</v>
      </c>
      <c r="B106" s="4" t="s">
        <v>374</v>
      </c>
      <c r="C106" s="5" t="s">
        <v>272</v>
      </c>
      <c r="D106" s="5" t="s">
        <v>643</v>
      </c>
      <c r="E106" s="5">
        <v>54649.2</v>
      </c>
      <c r="F106" s="10" t="s">
        <v>644</v>
      </c>
    </row>
    <row r="107" spans="1:6" x14ac:dyDescent="0.2">
      <c r="A107" t="s">
        <v>198</v>
      </c>
      <c r="B107" s="4" t="s">
        <v>374</v>
      </c>
      <c r="C107" s="5" t="s">
        <v>272</v>
      </c>
      <c r="D107" s="5" t="s">
        <v>641</v>
      </c>
      <c r="E107" s="5">
        <v>60687.6</v>
      </c>
      <c r="F107" s="10" t="s">
        <v>642</v>
      </c>
    </row>
    <row r="108" spans="1:6" x14ac:dyDescent="0.2">
      <c r="A108" t="s">
        <v>198</v>
      </c>
      <c r="B108" s="4" t="s">
        <v>374</v>
      </c>
      <c r="C108" s="5" t="s">
        <v>272</v>
      </c>
      <c r="D108" s="5" t="s">
        <v>639</v>
      </c>
      <c r="E108" s="5">
        <v>57798</v>
      </c>
      <c r="F108" s="10" t="s">
        <v>640</v>
      </c>
    </row>
    <row r="109" spans="1:6" x14ac:dyDescent="0.2">
      <c r="A109" t="s">
        <v>198</v>
      </c>
      <c r="B109" s="4" t="s">
        <v>374</v>
      </c>
      <c r="C109" s="5" t="s">
        <v>272</v>
      </c>
      <c r="D109" s="5" t="s">
        <v>637</v>
      </c>
      <c r="E109" s="5">
        <v>57937.2</v>
      </c>
      <c r="F109" s="10" t="s">
        <v>638</v>
      </c>
    </row>
    <row r="110" spans="1:6" x14ac:dyDescent="0.2">
      <c r="A110" t="s">
        <v>198</v>
      </c>
      <c r="B110" s="4" t="s">
        <v>374</v>
      </c>
      <c r="C110" s="5" t="s">
        <v>272</v>
      </c>
      <c r="D110" s="5" t="s">
        <v>635</v>
      </c>
      <c r="E110" s="5">
        <v>55839.6</v>
      </c>
      <c r="F110" s="10" t="s">
        <v>636</v>
      </c>
    </row>
    <row r="111" spans="1:6" x14ac:dyDescent="0.2">
      <c r="A111" t="s">
        <v>198</v>
      </c>
      <c r="B111" s="4" t="s">
        <v>374</v>
      </c>
      <c r="C111" s="5" t="s">
        <v>272</v>
      </c>
      <c r="D111" s="5" t="s">
        <v>633</v>
      </c>
      <c r="E111" s="5">
        <v>74587.199999999997</v>
      </c>
      <c r="F111" s="10" t="s">
        <v>634</v>
      </c>
    </row>
    <row r="112" spans="1:6" x14ac:dyDescent="0.2">
      <c r="A112" t="s">
        <v>198</v>
      </c>
      <c r="B112" s="4" t="s">
        <v>374</v>
      </c>
      <c r="C112" s="5" t="s">
        <v>272</v>
      </c>
      <c r="D112" s="5" t="s">
        <v>631</v>
      </c>
      <c r="E112" s="5">
        <v>71035.199999999997</v>
      </c>
      <c r="F112" s="10" t="s">
        <v>632</v>
      </c>
    </row>
    <row r="113" spans="1:6" x14ac:dyDescent="0.2">
      <c r="A113" t="s">
        <v>198</v>
      </c>
      <c r="B113" s="4" t="s">
        <v>374</v>
      </c>
      <c r="C113" s="5" t="s">
        <v>272</v>
      </c>
      <c r="D113" s="5" t="s">
        <v>629</v>
      </c>
      <c r="E113" s="5">
        <v>72332.399999999994</v>
      </c>
      <c r="F113" s="10" t="s">
        <v>630</v>
      </c>
    </row>
    <row r="114" spans="1:6" x14ac:dyDescent="0.2">
      <c r="A114" t="s">
        <v>198</v>
      </c>
      <c r="B114" s="4" t="s">
        <v>374</v>
      </c>
      <c r="C114" s="5" t="s">
        <v>272</v>
      </c>
      <c r="D114" s="5" t="s">
        <v>627</v>
      </c>
      <c r="E114" s="5">
        <v>68888.399999999994</v>
      </c>
      <c r="F114" s="10" t="s">
        <v>628</v>
      </c>
    </row>
    <row r="115" spans="1:6" x14ac:dyDescent="0.2">
      <c r="A115" t="s">
        <v>198</v>
      </c>
      <c r="B115" s="4" t="s">
        <v>374</v>
      </c>
      <c r="C115" s="5" t="s">
        <v>272</v>
      </c>
      <c r="D115" s="5" t="s">
        <v>625</v>
      </c>
      <c r="E115" s="5">
        <v>53181.599999999999</v>
      </c>
      <c r="F115" s="10" t="s">
        <v>626</v>
      </c>
    </row>
    <row r="116" spans="1:6" x14ac:dyDescent="0.2">
      <c r="A116" t="s">
        <v>198</v>
      </c>
      <c r="B116" s="4" t="s">
        <v>374</v>
      </c>
      <c r="C116" s="5" t="s">
        <v>272</v>
      </c>
      <c r="D116" s="5" t="s">
        <v>623</v>
      </c>
      <c r="E116" s="5">
        <v>54481.2</v>
      </c>
      <c r="F116" s="10" t="s">
        <v>624</v>
      </c>
    </row>
    <row r="117" spans="1:6" x14ac:dyDescent="0.2">
      <c r="A117" t="s">
        <v>198</v>
      </c>
      <c r="B117" s="4" t="s">
        <v>374</v>
      </c>
      <c r="C117" s="5" t="s">
        <v>272</v>
      </c>
      <c r="D117" s="5" t="s">
        <v>621</v>
      </c>
      <c r="E117" s="5">
        <v>51886.8</v>
      </c>
      <c r="F117" s="10" t="s">
        <v>622</v>
      </c>
    </row>
    <row r="118" spans="1:6" x14ac:dyDescent="0.2">
      <c r="A118" t="s">
        <v>198</v>
      </c>
      <c r="B118" s="4" t="s">
        <v>374</v>
      </c>
      <c r="C118" s="5" t="s">
        <v>272</v>
      </c>
      <c r="D118" s="5" t="s">
        <v>619</v>
      </c>
      <c r="E118" s="5">
        <v>53634</v>
      </c>
      <c r="F118" s="10" t="s">
        <v>620</v>
      </c>
    </row>
    <row r="119" spans="1:6" x14ac:dyDescent="0.2">
      <c r="A119" t="s">
        <v>198</v>
      </c>
      <c r="B119" s="4" t="s">
        <v>374</v>
      </c>
      <c r="C119" s="5" t="s">
        <v>272</v>
      </c>
      <c r="D119" s="5" t="s">
        <v>617</v>
      </c>
      <c r="E119" s="5">
        <v>51079.199999999997</v>
      </c>
      <c r="F119" s="10" t="s">
        <v>618</v>
      </c>
    </row>
    <row r="120" spans="1:6" x14ac:dyDescent="0.2">
      <c r="A120" t="s">
        <v>198</v>
      </c>
      <c r="B120" s="4" t="s">
        <v>374</v>
      </c>
      <c r="C120" s="5" t="s">
        <v>272</v>
      </c>
      <c r="D120" s="5" t="s">
        <v>615</v>
      </c>
      <c r="E120" s="5">
        <v>32524.799999999999</v>
      </c>
      <c r="F120" s="10" t="s">
        <v>616</v>
      </c>
    </row>
    <row r="121" spans="1:6" x14ac:dyDescent="0.2">
      <c r="A121" t="s">
        <v>198</v>
      </c>
      <c r="B121" s="4" t="s">
        <v>374</v>
      </c>
      <c r="C121" s="5" t="s">
        <v>272</v>
      </c>
      <c r="D121" s="5" t="s">
        <v>613</v>
      </c>
      <c r="E121" s="5">
        <v>30975.599999999999</v>
      </c>
      <c r="F121" s="10" t="s">
        <v>614</v>
      </c>
    </row>
    <row r="122" spans="1:6" x14ac:dyDescent="0.2">
      <c r="A122" t="s">
        <v>198</v>
      </c>
      <c r="B122" s="4" t="s">
        <v>374</v>
      </c>
      <c r="C122" s="5" t="s">
        <v>272</v>
      </c>
      <c r="D122" s="5" t="s">
        <v>611</v>
      </c>
      <c r="E122" s="5">
        <v>23512.799999999999</v>
      </c>
      <c r="F122" s="10" t="s">
        <v>612</v>
      </c>
    </row>
    <row r="123" spans="1:6" x14ac:dyDescent="0.2">
      <c r="A123" t="s">
        <v>198</v>
      </c>
      <c r="B123" s="4" t="s">
        <v>374</v>
      </c>
      <c r="C123" s="5" t="s">
        <v>272</v>
      </c>
      <c r="D123" s="5" t="s">
        <v>609</v>
      </c>
      <c r="E123" s="5">
        <v>22393.200000000001</v>
      </c>
      <c r="F123" s="10" t="s">
        <v>610</v>
      </c>
    </row>
    <row r="124" spans="1:6" x14ac:dyDescent="0.2">
      <c r="A124" t="s">
        <v>198</v>
      </c>
      <c r="B124" s="4" t="s">
        <v>374</v>
      </c>
      <c r="C124" s="5" t="s">
        <v>272</v>
      </c>
      <c r="D124" s="5" t="s">
        <v>607</v>
      </c>
      <c r="E124" s="5">
        <v>19401.599999999999</v>
      </c>
      <c r="F124" s="10" t="s">
        <v>608</v>
      </c>
    </row>
    <row r="125" spans="1:6" x14ac:dyDescent="0.2">
      <c r="A125" t="s">
        <v>198</v>
      </c>
      <c r="B125" s="4" t="s">
        <v>374</v>
      </c>
      <c r="C125" s="5" t="s">
        <v>272</v>
      </c>
      <c r="D125" s="5" t="s">
        <v>605</v>
      </c>
      <c r="E125" s="5">
        <v>18477.599999999999</v>
      </c>
      <c r="F125" s="10" t="s">
        <v>606</v>
      </c>
    </row>
    <row r="126" spans="1:6" x14ac:dyDescent="0.2">
      <c r="A126" t="s">
        <v>198</v>
      </c>
      <c r="B126" s="4" t="s">
        <v>374</v>
      </c>
      <c r="C126" s="5" t="s">
        <v>272</v>
      </c>
      <c r="D126" s="5" t="s">
        <v>603</v>
      </c>
      <c r="E126" s="5">
        <v>18811.2</v>
      </c>
      <c r="F126" s="10" t="s">
        <v>604</v>
      </c>
    </row>
    <row r="127" spans="1:6" x14ac:dyDescent="0.2">
      <c r="A127" t="s">
        <v>198</v>
      </c>
      <c r="B127" s="4" t="s">
        <v>374</v>
      </c>
      <c r="C127" s="5" t="s">
        <v>272</v>
      </c>
      <c r="D127" s="5" t="s">
        <v>601</v>
      </c>
      <c r="E127" s="5">
        <v>16366.8</v>
      </c>
      <c r="F127" s="10" t="s">
        <v>602</v>
      </c>
    </row>
    <row r="128" spans="1:6" x14ac:dyDescent="0.2">
      <c r="A128" t="s">
        <v>198</v>
      </c>
      <c r="B128" s="4" t="s">
        <v>374</v>
      </c>
      <c r="C128" s="5" t="s">
        <v>272</v>
      </c>
      <c r="D128" s="5" t="s">
        <v>599</v>
      </c>
      <c r="E128" s="5">
        <v>8022</v>
      </c>
      <c r="F128" s="10" t="s">
        <v>600</v>
      </c>
    </row>
    <row r="129" spans="1:6" x14ac:dyDescent="0.2">
      <c r="A129" t="s">
        <v>198</v>
      </c>
      <c r="B129" s="4" t="s">
        <v>374</v>
      </c>
      <c r="C129" s="5" t="s">
        <v>272</v>
      </c>
      <c r="D129" s="5" t="s">
        <v>597</v>
      </c>
      <c r="E129" s="5">
        <v>136242</v>
      </c>
      <c r="F129" s="10" t="s">
        <v>598</v>
      </c>
    </row>
    <row r="130" spans="1:6" x14ac:dyDescent="0.2">
      <c r="A130" t="s">
        <v>198</v>
      </c>
      <c r="B130" s="4" t="s">
        <v>374</v>
      </c>
      <c r="C130" s="5" t="s">
        <v>272</v>
      </c>
      <c r="D130" s="5" t="s">
        <v>595</v>
      </c>
      <c r="E130" s="5">
        <v>147680.4</v>
      </c>
      <c r="F130" s="10" t="s">
        <v>596</v>
      </c>
    </row>
    <row r="131" spans="1:6" x14ac:dyDescent="0.2">
      <c r="A131" t="s">
        <v>198</v>
      </c>
      <c r="B131" s="4" t="s">
        <v>374</v>
      </c>
      <c r="C131" s="5" t="s">
        <v>272</v>
      </c>
      <c r="D131" s="5" t="s">
        <v>593</v>
      </c>
      <c r="E131" s="5">
        <v>140647.20000000001</v>
      </c>
      <c r="F131" s="10" t="s">
        <v>594</v>
      </c>
    </row>
    <row r="132" spans="1:6" x14ac:dyDescent="0.2">
      <c r="A132" t="s">
        <v>198</v>
      </c>
      <c r="B132" s="4" t="s">
        <v>374</v>
      </c>
      <c r="C132" s="5" t="s">
        <v>272</v>
      </c>
      <c r="D132" s="5" t="s">
        <v>591</v>
      </c>
      <c r="E132" s="5">
        <v>135362.4</v>
      </c>
      <c r="F132" s="10" t="s">
        <v>592</v>
      </c>
    </row>
    <row r="133" spans="1:6" x14ac:dyDescent="0.2">
      <c r="A133" t="s">
        <v>198</v>
      </c>
      <c r="B133" s="4" t="s">
        <v>374</v>
      </c>
      <c r="C133" s="5" t="s">
        <v>272</v>
      </c>
      <c r="D133" s="5" t="s">
        <v>589</v>
      </c>
      <c r="E133" s="5">
        <v>128917.2</v>
      </c>
      <c r="F133" s="10" t="s">
        <v>590</v>
      </c>
    </row>
    <row r="134" spans="1:6" x14ac:dyDescent="0.2">
      <c r="A134" t="s">
        <v>198</v>
      </c>
      <c r="B134" s="4" t="s">
        <v>374</v>
      </c>
      <c r="C134" s="5" t="s">
        <v>272</v>
      </c>
      <c r="D134" s="5" t="s">
        <v>587</v>
      </c>
      <c r="E134" s="5">
        <v>116210.4</v>
      </c>
      <c r="F134" s="10" t="s">
        <v>588</v>
      </c>
    </row>
    <row r="135" spans="1:6" x14ac:dyDescent="0.2">
      <c r="A135" t="s">
        <v>198</v>
      </c>
      <c r="B135" s="4" t="s">
        <v>374</v>
      </c>
      <c r="C135" s="5" t="s">
        <v>272</v>
      </c>
      <c r="D135" s="5" t="s">
        <v>585</v>
      </c>
      <c r="E135" s="5">
        <v>110677.2</v>
      </c>
      <c r="F135" s="10" t="s">
        <v>586</v>
      </c>
    </row>
    <row r="136" spans="1:6" x14ac:dyDescent="0.2">
      <c r="A136" t="s">
        <v>198</v>
      </c>
      <c r="B136" s="4" t="s">
        <v>374</v>
      </c>
      <c r="C136" s="5" t="s">
        <v>272</v>
      </c>
      <c r="D136" s="5" t="s">
        <v>583</v>
      </c>
      <c r="E136" s="5">
        <v>100416</v>
      </c>
      <c r="F136" s="10" t="s">
        <v>584</v>
      </c>
    </row>
    <row r="137" spans="1:6" x14ac:dyDescent="0.2">
      <c r="A137" t="s">
        <v>198</v>
      </c>
      <c r="B137" s="4" t="s">
        <v>374</v>
      </c>
      <c r="C137" s="5" t="s">
        <v>272</v>
      </c>
      <c r="D137" s="5" t="s">
        <v>581</v>
      </c>
      <c r="E137" s="5">
        <v>95635.199999999997</v>
      </c>
      <c r="F137" s="10" t="s">
        <v>582</v>
      </c>
    </row>
    <row r="138" spans="1:6" x14ac:dyDescent="0.2">
      <c r="A138" t="s">
        <v>198</v>
      </c>
      <c r="B138" s="4" t="s">
        <v>374</v>
      </c>
      <c r="C138" s="5" t="s">
        <v>272</v>
      </c>
      <c r="D138" s="5" t="s">
        <v>579</v>
      </c>
      <c r="E138" s="5">
        <v>115143.6</v>
      </c>
      <c r="F138" s="10" t="s">
        <v>580</v>
      </c>
    </row>
    <row r="139" spans="1:6" x14ac:dyDescent="0.2">
      <c r="A139" t="s">
        <v>198</v>
      </c>
      <c r="B139" s="4" t="s">
        <v>374</v>
      </c>
      <c r="C139" s="5" t="s">
        <v>272</v>
      </c>
      <c r="D139" s="5" t="s">
        <v>577</v>
      </c>
      <c r="E139" s="5">
        <v>7640.4</v>
      </c>
      <c r="F139" s="10" t="s">
        <v>578</v>
      </c>
    </row>
    <row r="140" spans="1:6" x14ac:dyDescent="0.2">
      <c r="A140" t="s">
        <v>198</v>
      </c>
      <c r="B140" s="4" t="s">
        <v>374</v>
      </c>
      <c r="C140" s="5" t="s">
        <v>272</v>
      </c>
      <c r="D140" s="5" t="s">
        <v>575</v>
      </c>
      <c r="E140" s="5">
        <v>109660.8</v>
      </c>
      <c r="F140" s="10" t="s">
        <v>576</v>
      </c>
    </row>
    <row r="141" spans="1:6" x14ac:dyDescent="0.2">
      <c r="A141" t="s">
        <v>198</v>
      </c>
      <c r="B141" s="4" t="s">
        <v>374</v>
      </c>
      <c r="C141" s="5" t="s">
        <v>272</v>
      </c>
      <c r="D141" s="5" t="s">
        <v>573</v>
      </c>
      <c r="E141" s="5">
        <v>76912.800000000003</v>
      </c>
      <c r="F141" s="10" t="s">
        <v>574</v>
      </c>
    </row>
    <row r="142" spans="1:6" x14ac:dyDescent="0.2">
      <c r="A142" t="s">
        <v>198</v>
      </c>
      <c r="B142" s="4" t="s">
        <v>374</v>
      </c>
      <c r="C142" s="5" t="s">
        <v>272</v>
      </c>
      <c r="D142" s="5" t="s">
        <v>571</v>
      </c>
      <c r="E142" s="5">
        <v>110718</v>
      </c>
      <c r="F142" s="10" t="s">
        <v>572</v>
      </c>
    </row>
    <row r="143" spans="1:6" x14ac:dyDescent="0.2">
      <c r="A143" t="s">
        <v>198</v>
      </c>
      <c r="B143" s="4" t="s">
        <v>374</v>
      </c>
      <c r="C143" s="5" t="s">
        <v>272</v>
      </c>
      <c r="D143" s="5" t="s">
        <v>569</v>
      </c>
      <c r="E143" s="5">
        <v>105446.39999999999</v>
      </c>
      <c r="F143" s="10" t="s">
        <v>570</v>
      </c>
    </row>
    <row r="144" spans="1:6" x14ac:dyDescent="0.2">
      <c r="A144" t="s">
        <v>198</v>
      </c>
      <c r="B144" s="4" t="s">
        <v>374</v>
      </c>
      <c r="C144" s="5" t="s">
        <v>272</v>
      </c>
      <c r="D144" s="5" t="s">
        <v>567</v>
      </c>
      <c r="E144" s="5">
        <v>73250.399999999994</v>
      </c>
      <c r="F144" s="10" t="s">
        <v>568</v>
      </c>
    </row>
    <row r="145" spans="1:6" x14ac:dyDescent="0.2">
      <c r="A145" t="s">
        <v>198</v>
      </c>
      <c r="B145" s="4" t="s">
        <v>374</v>
      </c>
      <c r="C145" s="5" t="s">
        <v>272</v>
      </c>
      <c r="D145" s="5" t="s">
        <v>565</v>
      </c>
      <c r="E145" s="5">
        <v>128580</v>
      </c>
      <c r="F145" s="10" t="s">
        <v>566</v>
      </c>
    </row>
    <row r="146" spans="1:6" x14ac:dyDescent="0.2">
      <c r="A146" t="s">
        <v>198</v>
      </c>
      <c r="B146" s="4" t="s">
        <v>374</v>
      </c>
      <c r="C146" s="5" t="s">
        <v>272</v>
      </c>
      <c r="D146" s="5" t="s">
        <v>563</v>
      </c>
      <c r="E146" s="5">
        <v>122456.4</v>
      </c>
      <c r="F146" s="10" t="s">
        <v>564</v>
      </c>
    </row>
    <row r="147" spans="1:6" x14ac:dyDescent="0.2">
      <c r="A147" t="s">
        <v>198</v>
      </c>
      <c r="B147" s="4" t="s">
        <v>374</v>
      </c>
      <c r="C147" s="5" t="s">
        <v>272</v>
      </c>
      <c r="D147" s="5" t="s">
        <v>561</v>
      </c>
      <c r="E147" s="5">
        <v>121216.8</v>
      </c>
      <c r="F147" s="10" t="s">
        <v>562</v>
      </c>
    </row>
    <row r="148" spans="1:6" x14ac:dyDescent="0.2">
      <c r="A148" t="s">
        <v>198</v>
      </c>
      <c r="B148" s="4" t="s">
        <v>374</v>
      </c>
      <c r="C148" s="5" t="s">
        <v>272</v>
      </c>
      <c r="D148" s="5" t="s">
        <v>559</v>
      </c>
      <c r="E148" s="5">
        <v>115443.6</v>
      </c>
      <c r="F148" s="10" t="s">
        <v>560</v>
      </c>
    </row>
    <row r="149" spans="1:6" x14ac:dyDescent="0.2">
      <c r="A149" t="s">
        <v>198</v>
      </c>
      <c r="B149" s="4" t="s">
        <v>374</v>
      </c>
      <c r="C149" s="5" t="s">
        <v>272</v>
      </c>
      <c r="D149" s="5" t="s">
        <v>557</v>
      </c>
      <c r="E149" s="5">
        <v>39784.800000000003</v>
      </c>
      <c r="F149" s="10" t="s">
        <v>558</v>
      </c>
    </row>
    <row r="150" spans="1:6" x14ac:dyDescent="0.2">
      <c r="A150" t="s">
        <v>198</v>
      </c>
      <c r="B150" s="4" t="s">
        <v>374</v>
      </c>
      <c r="C150" s="5" t="s">
        <v>272</v>
      </c>
      <c r="D150" s="5" t="s">
        <v>555</v>
      </c>
      <c r="E150" s="5">
        <v>37890</v>
      </c>
      <c r="F150" s="10" t="s">
        <v>556</v>
      </c>
    </row>
    <row r="151" spans="1:6" x14ac:dyDescent="0.2">
      <c r="A151" t="s">
        <v>198</v>
      </c>
      <c r="B151" s="4" t="s">
        <v>374</v>
      </c>
      <c r="C151" s="5" t="s">
        <v>272</v>
      </c>
      <c r="D151" s="5" t="s">
        <v>553</v>
      </c>
      <c r="E151" s="5">
        <v>32673.599999999999</v>
      </c>
      <c r="F151" s="10" t="s">
        <v>554</v>
      </c>
    </row>
    <row r="152" spans="1:6" x14ac:dyDescent="0.2">
      <c r="A152" t="s">
        <v>198</v>
      </c>
      <c r="B152" s="4" t="s">
        <v>374</v>
      </c>
      <c r="C152" s="5" t="s">
        <v>272</v>
      </c>
      <c r="D152" s="5" t="s">
        <v>551</v>
      </c>
      <c r="E152" s="5">
        <v>31118.400000000001</v>
      </c>
      <c r="F152" s="10" t="s">
        <v>552</v>
      </c>
    </row>
    <row r="153" spans="1:6" x14ac:dyDescent="0.2">
      <c r="A153" t="s">
        <v>198</v>
      </c>
      <c r="B153" s="4" t="s">
        <v>374</v>
      </c>
      <c r="C153" s="5" t="s">
        <v>272</v>
      </c>
      <c r="D153" s="5" t="s">
        <v>549</v>
      </c>
      <c r="E153" s="5">
        <v>22124.400000000001</v>
      </c>
      <c r="F153" s="10" t="s">
        <v>550</v>
      </c>
    </row>
    <row r="154" spans="1:6" x14ac:dyDescent="0.2">
      <c r="A154" t="s">
        <v>198</v>
      </c>
      <c r="B154" s="4" t="s">
        <v>374</v>
      </c>
      <c r="C154" s="5" t="s">
        <v>272</v>
      </c>
      <c r="D154" s="5" t="s">
        <v>547</v>
      </c>
      <c r="E154" s="5">
        <v>21070.799999999999</v>
      </c>
      <c r="F154" s="10" t="s">
        <v>548</v>
      </c>
    </row>
    <row r="155" spans="1:6" x14ac:dyDescent="0.2">
      <c r="A155" t="s">
        <v>198</v>
      </c>
      <c r="B155" s="4" t="s">
        <v>374</v>
      </c>
      <c r="C155" s="5" t="s">
        <v>272</v>
      </c>
      <c r="D155" s="5" t="s">
        <v>545</v>
      </c>
      <c r="E155" s="5">
        <v>7480.8</v>
      </c>
      <c r="F155" s="10" t="s">
        <v>546</v>
      </c>
    </row>
    <row r="156" spans="1:6" x14ac:dyDescent="0.2">
      <c r="A156" t="s">
        <v>198</v>
      </c>
      <c r="B156" s="4" t="s">
        <v>374</v>
      </c>
      <c r="C156" s="5" t="s">
        <v>272</v>
      </c>
      <c r="D156" s="5" t="s">
        <v>543</v>
      </c>
      <c r="E156" s="5">
        <v>7125.6</v>
      </c>
      <c r="F156" s="10" t="s">
        <v>544</v>
      </c>
    </row>
    <row r="157" spans="1:6" x14ac:dyDescent="0.2">
      <c r="A157" t="s">
        <v>198</v>
      </c>
      <c r="B157" s="4" t="s">
        <v>374</v>
      </c>
      <c r="C157" s="5" t="s">
        <v>272</v>
      </c>
      <c r="D157" s="5" t="s">
        <v>541</v>
      </c>
      <c r="E157" s="5">
        <v>7806</v>
      </c>
      <c r="F157" s="10" t="s">
        <v>542</v>
      </c>
    </row>
    <row r="158" spans="1:6" x14ac:dyDescent="0.2">
      <c r="A158" t="s">
        <v>198</v>
      </c>
      <c r="B158" s="4" t="s">
        <v>374</v>
      </c>
      <c r="C158" s="5" t="s">
        <v>272</v>
      </c>
      <c r="D158" s="5" t="s">
        <v>539</v>
      </c>
      <c r="E158" s="5">
        <v>7435.2</v>
      </c>
      <c r="F158" s="10" t="s">
        <v>540</v>
      </c>
    </row>
    <row r="159" spans="1:6" x14ac:dyDescent="0.2">
      <c r="A159" t="s">
        <v>198</v>
      </c>
      <c r="B159" s="4" t="s">
        <v>374</v>
      </c>
      <c r="C159" s="5" t="s">
        <v>272</v>
      </c>
      <c r="D159" s="5" t="s">
        <v>537</v>
      </c>
      <c r="E159" s="5">
        <v>6456</v>
      </c>
      <c r="F159" s="10" t="s">
        <v>538</v>
      </c>
    </row>
    <row r="160" spans="1:6" x14ac:dyDescent="0.2">
      <c r="A160" t="s">
        <v>198</v>
      </c>
      <c r="B160" s="4" t="s">
        <v>374</v>
      </c>
      <c r="C160" s="5" t="s">
        <v>272</v>
      </c>
      <c r="D160" s="5" t="s">
        <v>535</v>
      </c>
      <c r="E160" s="5">
        <v>6148.8</v>
      </c>
      <c r="F160" s="10" t="s">
        <v>536</v>
      </c>
    </row>
    <row r="161" spans="1:6" x14ac:dyDescent="0.2">
      <c r="A161" t="s">
        <v>198</v>
      </c>
      <c r="B161" s="4" t="s">
        <v>374</v>
      </c>
      <c r="C161" s="5" t="s">
        <v>272</v>
      </c>
      <c r="D161" s="5" t="s">
        <v>533</v>
      </c>
      <c r="E161" s="5">
        <v>17990.400000000001</v>
      </c>
      <c r="F161" s="10" t="s">
        <v>534</v>
      </c>
    </row>
    <row r="162" spans="1:6" x14ac:dyDescent="0.2">
      <c r="A162" t="s">
        <v>198</v>
      </c>
      <c r="B162" s="4" t="s">
        <v>374</v>
      </c>
      <c r="C162" s="5" t="s">
        <v>272</v>
      </c>
      <c r="D162" s="5" t="s">
        <v>531</v>
      </c>
      <c r="E162" s="5">
        <v>17134.8</v>
      </c>
      <c r="F162" s="10" t="s">
        <v>532</v>
      </c>
    </row>
    <row r="163" spans="1:6" x14ac:dyDescent="0.2">
      <c r="A163" t="s">
        <v>198</v>
      </c>
      <c r="B163" s="4" t="s">
        <v>374</v>
      </c>
      <c r="C163" s="5" t="s">
        <v>272</v>
      </c>
      <c r="D163" s="5" t="s">
        <v>529</v>
      </c>
      <c r="E163" s="5">
        <v>86796</v>
      </c>
      <c r="F163" s="10" t="s">
        <v>530</v>
      </c>
    </row>
    <row r="164" spans="1:6" x14ac:dyDescent="0.2">
      <c r="A164" t="s">
        <v>198</v>
      </c>
      <c r="B164" s="4" t="s">
        <v>374</v>
      </c>
      <c r="C164" s="5" t="s">
        <v>272</v>
      </c>
      <c r="D164" s="5" t="s">
        <v>527</v>
      </c>
      <c r="E164" s="5">
        <v>82663.199999999997</v>
      </c>
      <c r="F164" s="10" t="s">
        <v>528</v>
      </c>
    </row>
    <row r="165" spans="1:6" x14ac:dyDescent="0.2">
      <c r="A165" t="s">
        <v>198</v>
      </c>
      <c r="B165" s="4" t="s">
        <v>374</v>
      </c>
      <c r="C165" s="5" t="s">
        <v>272</v>
      </c>
      <c r="D165" s="5" t="s">
        <v>525</v>
      </c>
      <c r="E165" s="5">
        <v>49336.800000000003</v>
      </c>
      <c r="F165" s="10" t="s">
        <v>526</v>
      </c>
    </row>
    <row r="166" spans="1:6" x14ac:dyDescent="0.2">
      <c r="A166" t="s">
        <v>198</v>
      </c>
      <c r="B166" s="4" t="s">
        <v>374</v>
      </c>
      <c r="C166" s="5" t="s">
        <v>272</v>
      </c>
      <c r="D166" s="5" t="s">
        <v>523</v>
      </c>
      <c r="E166" s="5">
        <v>46987.199999999997</v>
      </c>
      <c r="F166" s="10" t="s">
        <v>524</v>
      </c>
    </row>
    <row r="167" spans="1:6" x14ac:dyDescent="0.2">
      <c r="A167" t="s">
        <v>198</v>
      </c>
      <c r="B167" s="4" t="s">
        <v>374</v>
      </c>
      <c r="C167" s="5" t="s">
        <v>272</v>
      </c>
      <c r="D167" s="5" t="s">
        <v>521</v>
      </c>
      <c r="E167" s="5">
        <v>17914.8</v>
      </c>
      <c r="F167" s="10" t="s">
        <v>522</v>
      </c>
    </row>
    <row r="168" spans="1:6" x14ac:dyDescent="0.2">
      <c r="A168" t="s">
        <v>198</v>
      </c>
      <c r="B168" s="4" t="s">
        <v>374</v>
      </c>
      <c r="C168" s="5" t="s">
        <v>272</v>
      </c>
      <c r="D168" s="5" t="s">
        <v>519</v>
      </c>
      <c r="E168" s="5">
        <v>781809.6</v>
      </c>
      <c r="F168" s="10" t="s">
        <v>520</v>
      </c>
    </row>
    <row r="169" spans="1:6" x14ac:dyDescent="0.2">
      <c r="A169" t="s">
        <v>198</v>
      </c>
      <c r="B169" s="4" t="s">
        <v>374</v>
      </c>
      <c r="C169" s="5" t="s">
        <v>272</v>
      </c>
      <c r="D169" s="5" t="s">
        <v>517</v>
      </c>
      <c r="E169" s="5">
        <v>749296.8</v>
      </c>
      <c r="F169" s="10" t="s">
        <v>518</v>
      </c>
    </row>
    <row r="170" spans="1:6" x14ac:dyDescent="0.2">
      <c r="A170" t="s">
        <v>198</v>
      </c>
      <c r="B170" s="4" t="s">
        <v>374</v>
      </c>
      <c r="C170" s="5" t="s">
        <v>272</v>
      </c>
      <c r="D170" s="5" t="s">
        <v>515</v>
      </c>
      <c r="E170" s="5">
        <v>488558.4</v>
      </c>
      <c r="F170" s="10" t="s">
        <v>516</v>
      </c>
    </row>
    <row r="171" spans="1:6" x14ac:dyDescent="0.2">
      <c r="A171" t="s">
        <v>198</v>
      </c>
      <c r="B171" s="4" t="s">
        <v>374</v>
      </c>
      <c r="C171" s="5" t="s">
        <v>272</v>
      </c>
      <c r="D171" s="5" t="s">
        <v>513</v>
      </c>
      <c r="E171" s="5">
        <v>489519.2</v>
      </c>
      <c r="F171" s="10" t="s">
        <v>514</v>
      </c>
    </row>
    <row r="172" spans="1:6" x14ac:dyDescent="0.2">
      <c r="A172" t="s">
        <v>198</v>
      </c>
      <c r="B172" s="4" t="s">
        <v>374</v>
      </c>
      <c r="C172" s="5" t="s">
        <v>272</v>
      </c>
      <c r="D172" s="5" t="s">
        <v>511</v>
      </c>
      <c r="E172" s="5">
        <v>5342.4</v>
      </c>
      <c r="F172" s="10" t="s">
        <v>512</v>
      </c>
    </row>
    <row r="173" spans="1:6" x14ac:dyDescent="0.2">
      <c r="A173" t="s">
        <v>198</v>
      </c>
      <c r="B173" s="4" t="s">
        <v>374</v>
      </c>
      <c r="C173" s="5" t="s">
        <v>272</v>
      </c>
      <c r="D173" s="5" t="s">
        <v>509</v>
      </c>
      <c r="E173" s="5">
        <v>401878.8</v>
      </c>
      <c r="F173" s="10" t="s">
        <v>510</v>
      </c>
    </row>
    <row r="174" spans="1:6" x14ac:dyDescent="0.2">
      <c r="A174" t="s">
        <v>198</v>
      </c>
      <c r="B174" s="4" t="s">
        <v>374</v>
      </c>
      <c r="C174" s="5" t="s">
        <v>272</v>
      </c>
      <c r="D174" s="5" t="s">
        <v>507</v>
      </c>
      <c r="E174" s="5">
        <v>16459.2</v>
      </c>
      <c r="F174" s="10" t="s">
        <v>508</v>
      </c>
    </row>
    <row r="175" spans="1:6" x14ac:dyDescent="0.2">
      <c r="A175" t="s">
        <v>198</v>
      </c>
      <c r="B175" s="4" t="s">
        <v>374</v>
      </c>
      <c r="C175" s="5" t="s">
        <v>272</v>
      </c>
      <c r="D175" s="5" t="s">
        <v>505</v>
      </c>
      <c r="E175" s="5">
        <v>15675.6</v>
      </c>
      <c r="F175" s="10" t="s">
        <v>506</v>
      </c>
    </row>
    <row r="176" spans="1:6" x14ac:dyDescent="0.2">
      <c r="A176" t="s">
        <v>198</v>
      </c>
      <c r="B176" s="4" t="s">
        <v>374</v>
      </c>
      <c r="C176" s="5" t="s">
        <v>272</v>
      </c>
      <c r="D176" s="5" t="s">
        <v>503</v>
      </c>
      <c r="E176" s="5">
        <v>18682.8</v>
      </c>
      <c r="F176" s="10" t="s">
        <v>504</v>
      </c>
    </row>
    <row r="177" spans="1:6" x14ac:dyDescent="0.2">
      <c r="A177" t="s">
        <v>198</v>
      </c>
      <c r="B177" s="4" t="s">
        <v>374</v>
      </c>
      <c r="C177" s="5" t="s">
        <v>272</v>
      </c>
      <c r="D177" s="5" t="s">
        <v>501</v>
      </c>
      <c r="E177" s="5">
        <v>1793.6</v>
      </c>
      <c r="F177" s="10" t="s">
        <v>502</v>
      </c>
    </row>
    <row r="178" spans="1:6" x14ac:dyDescent="0.2">
      <c r="A178" t="s">
        <v>198</v>
      </c>
      <c r="B178" s="4" t="s">
        <v>374</v>
      </c>
      <c r="C178" s="5" t="s">
        <v>272</v>
      </c>
      <c r="D178" s="5" t="s">
        <v>499</v>
      </c>
      <c r="E178" s="5">
        <v>12895.2</v>
      </c>
      <c r="F178" s="10" t="s">
        <v>500</v>
      </c>
    </row>
    <row r="179" spans="1:6" x14ac:dyDescent="0.2">
      <c r="A179" t="s">
        <v>198</v>
      </c>
      <c r="B179" s="4" t="s">
        <v>374</v>
      </c>
      <c r="C179" s="5" t="s">
        <v>272</v>
      </c>
      <c r="D179" s="5" t="s">
        <v>497</v>
      </c>
      <c r="E179" s="5">
        <v>11331.6</v>
      </c>
      <c r="F179" s="10" t="s">
        <v>498</v>
      </c>
    </row>
    <row r="180" spans="1:6" x14ac:dyDescent="0.2">
      <c r="A180" t="s">
        <v>198</v>
      </c>
      <c r="B180" s="4" t="s">
        <v>374</v>
      </c>
      <c r="C180" s="5" t="s">
        <v>272</v>
      </c>
      <c r="D180" s="5" t="s">
        <v>495</v>
      </c>
      <c r="E180" s="5">
        <v>10791.6</v>
      </c>
      <c r="F180" s="10" t="s">
        <v>496</v>
      </c>
    </row>
    <row r="181" spans="1:6" x14ac:dyDescent="0.2">
      <c r="A181" t="s">
        <v>198</v>
      </c>
      <c r="B181" s="4" t="s">
        <v>374</v>
      </c>
      <c r="C181" s="5" t="s">
        <v>272</v>
      </c>
      <c r="D181" s="5" t="s">
        <v>493</v>
      </c>
      <c r="E181" s="5">
        <v>10777.2</v>
      </c>
      <c r="F181" s="10" t="s">
        <v>494</v>
      </c>
    </row>
    <row r="182" spans="1:6" x14ac:dyDescent="0.2">
      <c r="A182" t="s">
        <v>198</v>
      </c>
      <c r="B182" s="4" t="s">
        <v>374</v>
      </c>
      <c r="C182" s="5" t="s">
        <v>272</v>
      </c>
      <c r="D182" s="5" t="s">
        <v>491</v>
      </c>
      <c r="E182" s="5">
        <v>10022.4</v>
      </c>
      <c r="F182" s="10" t="s">
        <v>492</v>
      </c>
    </row>
    <row r="183" spans="1:6" x14ac:dyDescent="0.2">
      <c r="A183" t="s">
        <v>198</v>
      </c>
      <c r="B183" s="4" t="s">
        <v>374</v>
      </c>
      <c r="C183" s="5" t="s">
        <v>272</v>
      </c>
      <c r="D183" s="5" t="s">
        <v>489</v>
      </c>
      <c r="E183" s="5">
        <v>9546</v>
      </c>
      <c r="F183" s="10" t="s">
        <v>490</v>
      </c>
    </row>
    <row r="184" spans="1:6" x14ac:dyDescent="0.2">
      <c r="A184" t="s">
        <v>198</v>
      </c>
      <c r="B184" s="4" t="s">
        <v>374</v>
      </c>
      <c r="C184" s="5" t="s">
        <v>272</v>
      </c>
      <c r="D184" s="5" t="s">
        <v>487</v>
      </c>
      <c r="E184" s="5">
        <v>10299.6</v>
      </c>
      <c r="F184" s="10" t="s">
        <v>488</v>
      </c>
    </row>
    <row r="185" spans="1:6" x14ac:dyDescent="0.2">
      <c r="A185" t="s">
        <v>198</v>
      </c>
      <c r="B185" s="4" t="s">
        <v>374</v>
      </c>
      <c r="C185" s="5" t="s">
        <v>272</v>
      </c>
      <c r="D185" s="5" t="s">
        <v>485</v>
      </c>
      <c r="E185" s="5">
        <v>9805.2000000000007</v>
      </c>
      <c r="F185" s="10" t="s">
        <v>486</v>
      </c>
    </row>
    <row r="186" spans="1:6" x14ac:dyDescent="0.2">
      <c r="A186" t="s">
        <v>198</v>
      </c>
      <c r="B186" s="4" t="s">
        <v>374</v>
      </c>
      <c r="C186" s="5" t="s">
        <v>272</v>
      </c>
      <c r="D186" s="5" t="s">
        <v>483</v>
      </c>
      <c r="E186" s="5">
        <v>9338.4</v>
      </c>
      <c r="F186" s="10" t="s">
        <v>484</v>
      </c>
    </row>
    <row r="187" spans="1:6" x14ac:dyDescent="0.2">
      <c r="A187" t="s">
        <v>198</v>
      </c>
      <c r="B187" s="4" t="s">
        <v>374</v>
      </c>
      <c r="C187" s="5" t="s">
        <v>272</v>
      </c>
      <c r="D187" s="5" t="s">
        <v>481</v>
      </c>
      <c r="E187" s="5">
        <v>9567.6</v>
      </c>
      <c r="F187" s="10" t="s">
        <v>482</v>
      </c>
    </row>
    <row r="188" spans="1:6" x14ac:dyDescent="0.2">
      <c r="A188" t="s">
        <v>198</v>
      </c>
      <c r="B188" s="4" t="s">
        <v>374</v>
      </c>
      <c r="C188" s="5" t="s">
        <v>272</v>
      </c>
      <c r="D188" s="5" t="s">
        <v>479</v>
      </c>
      <c r="E188" s="5">
        <v>9112.7999999999993</v>
      </c>
      <c r="F188" s="10" t="s">
        <v>480</v>
      </c>
    </row>
    <row r="189" spans="1:6" x14ac:dyDescent="0.2">
      <c r="A189" t="s">
        <v>198</v>
      </c>
      <c r="B189" s="4" t="s">
        <v>374</v>
      </c>
      <c r="C189" s="5" t="s">
        <v>272</v>
      </c>
      <c r="D189" s="5" t="s">
        <v>477</v>
      </c>
      <c r="E189" s="5">
        <v>8905.2000000000007</v>
      </c>
      <c r="F189" s="10" t="s">
        <v>478</v>
      </c>
    </row>
    <row r="190" spans="1:6" x14ac:dyDescent="0.2">
      <c r="A190" t="s">
        <v>198</v>
      </c>
      <c r="B190" s="4" t="s">
        <v>374</v>
      </c>
      <c r="C190" s="5" t="s">
        <v>272</v>
      </c>
      <c r="D190" s="5" t="s">
        <v>475</v>
      </c>
      <c r="E190" s="5">
        <v>8481.6</v>
      </c>
      <c r="F190" s="10" t="s">
        <v>476</v>
      </c>
    </row>
    <row r="191" spans="1:6" x14ac:dyDescent="0.2">
      <c r="A191" t="s">
        <v>198</v>
      </c>
      <c r="B191" s="4" t="s">
        <v>374</v>
      </c>
      <c r="C191" s="5" t="s">
        <v>272</v>
      </c>
      <c r="D191" s="5" t="s">
        <v>473</v>
      </c>
      <c r="E191" s="5">
        <v>8976</v>
      </c>
      <c r="F191" s="10" t="s">
        <v>474</v>
      </c>
    </row>
    <row r="192" spans="1:6" x14ac:dyDescent="0.2">
      <c r="A192" t="s">
        <v>198</v>
      </c>
      <c r="B192" s="4" t="s">
        <v>374</v>
      </c>
      <c r="C192" s="5" t="s">
        <v>272</v>
      </c>
      <c r="D192" s="5" t="s">
        <v>471</v>
      </c>
      <c r="E192" s="5">
        <v>8686.7999999999993</v>
      </c>
      <c r="F192" s="10" t="s">
        <v>472</v>
      </c>
    </row>
    <row r="193" spans="1:6" x14ac:dyDescent="0.2">
      <c r="A193" t="s">
        <v>198</v>
      </c>
      <c r="B193" s="4" t="s">
        <v>374</v>
      </c>
      <c r="C193" s="5" t="s">
        <v>272</v>
      </c>
      <c r="D193" s="5" t="s">
        <v>469</v>
      </c>
      <c r="E193" s="5">
        <v>7383.6</v>
      </c>
      <c r="F193" s="10" t="s">
        <v>470</v>
      </c>
    </row>
    <row r="194" spans="1:6" x14ac:dyDescent="0.2">
      <c r="A194" t="s">
        <v>198</v>
      </c>
      <c r="B194" s="4" t="s">
        <v>374</v>
      </c>
      <c r="C194" s="5" t="s">
        <v>272</v>
      </c>
      <c r="D194" s="5" t="s">
        <v>467</v>
      </c>
      <c r="E194" s="5">
        <v>7032</v>
      </c>
      <c r="F194" s="10" t="s">
        <v>468</v>
      </c>
    </row>
    <row r="195" spans="1:6" x14ac:dyDescent="0.2">
      <c r="A195" t="s">
        <v>198</v>
      </c>
      <c r="B195" s="4" t="s">
        <v>374</v>
      </c>
      <c r="C195" s="5" t="s">
        <v>272</v>
      </c>
      <c r="D195" s="5" t="s">
        <v>465</v>
      </c>
      <c r="E195" s="5">
        <v>7350</v>
      </c>
      <c r="F195" s="10" t="s">
        <v>466</v>
      </c>
    </row>
    <row r="196" spans="1:6" x14ac:dyDescent="0.2">
      <c r="A196" t="s">
        <v>198</v>
      </c>
      <c r="B196" s="4" t="s">
        <v>374</v>
      </c>
      <c r="C196" s="5" t="s">
        <v>272</v>
      </c>
      <c r="D196" s="5" t="s">
        <v>463</v>
      </c>
      <c r="E196" s="5">
        <v>6999.6</v>
      </c>
      <c r="F196" s="10" t="s">
        <v>464</v>
      </c>
    </row>
    <row r="197" spans="1:6" x14ac:dyDescent="0.2">
      <c r="A197" t="s">
        <v>198</v>
      </c>
      <c r="B197" s="4" t="s">
        <v>374</v>
      </c>
      <c r="C197" s="5" t="s">
        <v>272</v>
      </c>
      <c r="D197" s="5" t="s">
        <v>461</v>
      </c>
      <c r="E197" s="5">
        <v>6670.8</v>
      </c>
      <c r="F197" s="10" t="s">
        <v>462</v>
      </c>
    </row>
    <row r="198" spans="1:6" x14ac:dyDescent="0.2">
      <c r="A198" t="s">
        <v>198</v>
      </c>
      <c r="B198" s="4" t="s">
        <v>374</v>
      </c>
      <c r="C198" s="5" t="s">
        <v>272</v>
      </c>
      <c r="D198" s="5" t="s">
        <v>459</v>
      </c>
      <c r="E198" s="5">
        <v>5600.4</v>
      </c>
      <c r="F198" s="10" t="s">
        <v>460</v>
      </c>
    </row>
    <row r="199" spans="1:6" x14ac:dyDescent="0.2">
      <c r="A199" t="s">
        <v>198</v>
      </c>
      <c r="B199" s="4" t="s">
        <v>374</v>
      </c>
      <c r="C199" s="5" t="s">
        <v>272</v>
      </c>
      <c r="D199" s="5" t="s">
        <v>457</v>
      </c>
      <c r="E199" s="5">
        <v>5332.8</v>
      </c>
      <c r="F199" s="10" t="s">
        <v>458</v>
      </c>
    </row>
    <row r="200" spans="1:6" x14ac:dyDescent="0.2">
      <c r="A200" t="s">
        <v>198</v>
      </c>
      <c r="B200" s="4" t="s">
        <v>374</v>
      </c>
      <c r="C200" s="5" t="s">
        <v>272</v>
      </c>
      <c r="D200" s="5" t="s">
        <v>455</v>
      </c>
      <c r="E200" s="5">
        <v>5682</v>
      </c>
      <c r="F200" s="10" t="s">
        <v>456</v>
      </c>
    </row>
    <row r="201" spans="1:6" x14ac:dyDescent="0.2">
      <c r="A201" t="s">
        <v>198</v>
      </c>
      <c r="B201" s="4" t="s">
        <v>374</v>
      </c>
      <c r="C201" s="5" t="s">
        <v>272</v>
      </c>
      <c r="D201" s="5" t="s">
        <v>453</v>
      </c>
      <c r="E201" s="5">
        <v>5410.8</v>
      </c>
      <c r="F201" s="10" t="s">
        <v>454</v>
      </c>
    </row>
    <row r="202" spans="1:6" x14ac:dyDescent="0.2">
      <c r="A202" t="s">
        <v>198</v>
      </c>
      <c r="B202" s="4" t="s">
        <v>374</v>
      </c>
      <c r="C202" s="5" t="s">
        <v>272</v>
      </c>
      <c r="D202" s="5" t="s">
        <v>451</v>
      </c>
      <c r="E202" s="5">
        <v>5893.2</v>
      </c>
      <c r="F202" s="10" t="s">
        <v>452</v>
      </c>
    </row>
    <row r="203" spans="1:6" x14ac:dyDescent="0.2">
      <c r="A203" t="s">
        <v>198</v>
      </c>
      <c r="B203" s="4" t="s">
        <v>374</v>
      </c>
      <c r="C203" s="5" t="s">
        <v>272</v>
      </c>
      <c r="D203" s="5" t="s">
        <v>449</v>
      </c>
      <c r="E203" s="5">
        <v>5612.4</v>
      </c>
      <c r="F203" s="10" t="s">
        <v>450</v>
      </c>
    </row>
    <row r="204" spans="1:6" x14ac:dyDescent="0.2">
      <c r="A204" t="s">
        <v>198</v>
      </c>
      <c r="B204" s="4" t="s">
        <v>374</v>
      </c>
      <c r="C204" s="5" t="s">
        <v>272</v>
      </c>
      <c r="D204" s="5" t="s">
        <v>447</v>
      </c>
      <c r="E204" s="5">
        <v>5088</v>
      </c>
      <c r="F204" s="10" t="s">
        <v>448</v>
      </c>
    </row>
    <row r="205" spans="1:6" x14ac:dyDescent="0.2">
      <c r="A205" t="s">
        <v>198</v>
      </c>
      <c r="B205" s="4" t="s">
        <v>374</v>
      </c>
      <c r="C205" s="5" t="s">
        <v>272</v>
      </c>
      <c r="D205" s="5" t="s">
        <v>445</v>
      </c>
      <c r="E205" s="5">
        <v>4863.6000000000004</v>
      </c>
      <c r="F205" s="10" t="s">
        <v>446</v>
      </c>
    </row>
    <row r="206" spans="1:6" x14ac:dyDescent="0.2">
      <c r="A206" t="s">
        <v>198</v>
      </c>
      <c r="B206" s="4" t="s">
        <v>374</v>
      </c>
      <c r="C206" s="5" t="s">
        <v>272</v>
      </c>
      <c r="D206" s="5" t="s">
        <v>443</v>
      </c>
      <c r="E206" s="5">
        <v>4632</v>
      </c>
      <c r="F206" s="10" t="s">
        <v>444</v>
      </c>
    </row>
    <row r="207" spans="1:6" x14ac:dyDescent="0.2">
      <c r="A207" t="s">
        <v>198</v>
      </c>
      <c r="B207" s="4" t="s">
        <v>374</v>
      </c>
      <c r="C207" s="5" t="s">
        <v>272</v>
      </c>
      <c r="D207" s="5" t="s">
        <v>441</v>
      </c>
      <c r="E207" s="5">
        <v>4426.8</v>
      </c>
      <c r="F207" s="10" t="s">
        <v>442</v>
      </c>
    </row>
    <row r="208" spans="1:6" x14ac:dyDescent="0.2">
      <c r="A208" t="s">
        <v>198</v>
      </c>
      <c r="B208" s="4" t="s">
        <v>374</v>
      </c>
      <c r="C208" s="5" t="s">
        <v>272</v>
      </c>
      <c r="D208" s="5" t="s">
        <v>439</v>
      </c>
      <c r="E208" s="5">
        <v>4116</v>
      </c>
      <c r="F208" s="10" t="s">
        <v>440</v>
      </c>
    </row>
    <row r="209" spans="1:6" x14ac:dyDescent="0.2">
      <c r="A209" t="s">
        <v>198</v>
      </c>
      <c r="B209" s="4" t="s">
        <v>374</v>
      </c>
      <c r="C209" s="5" t="s">
        <v>272</v>
      </c>
      <c r="D209" s="5" t="s">
        <v>437</v>
      </c>
      <c r="E209" s="5">
        <v>3919.2</v>
      </c>
      <c r="F209" s="10" t="s">
        <v>438</v>
      </c>
    </row>
    <row r="210" spans="1:6" x14ac:dyDescent="0.2">
      <c r="A210" t="s">
        <v>198</v>
      </c>
      <c r="B210" s="4" t="s">
        <v>374</v>
      </c>
      <c r="C210" s="5" t="s">
        <v>272</v>
      </c>
      <c r="D210" s="5" t="s">
        <v>435</v>
      </c>
      <c r="E210" s="5">
        <v>4158</v>
      </c>
      <c r="F210" s="10" t="s">
        <v>436</v>
      </c>
    </row>
    <row r="211" spans="1:6" x14ac:dyDescent="0.2">
      <c r="A211" t="s">
        <v>198</v>
      </c>
      <c r="B211" s="4" t="s">
        <v>374</v>
      </c>
      <c r="C211" s="5" t="s">
        <v>272</v>
      </c>
      <c r="D211" s="5" t="s">
        <v>433</v>
      </c>
      <c r="E211" s="5">
        <v>3960</v>
      </c>
      <c r="F211" s="10" t="s">
        <v>434</v>
      </c>
    </row>
    <row r="212" spans="1:6" x14ac:dyDescent="0.2">
      <c r="A212" t="s">
        <v>198</v>
      </c>
      <c r="B212" s="4" t="s">
        <v>374</v>
      </c>
      <c r="C212" s="5" t="s">
        <v>272</v>
      </c>
      <c r="D212" s="5" t="s">
        <v>431</v>
      </c>
      <c r="E212" s="5">
        <v>4026</v>
      </c>
      <c r="F212" s="10" t="s">
        <v>432</v>
      </c>
    </row>
    <row r="213" spans="1:6" x14ac:dyDescent="0.2">
      <c r="A213" t="s">
        <v>198</v>
      </c>
      <c r="B213" s="4" t="s">
        <v>374</v>
      </c>
      <c r="C213" s="5" t="s">
        <v>272</v>
      </c>
      <c r="D213" s="5" t="s">
        <v>429</v>
      </c>
      <c r="E213" s="5">
        <v>3834</v>
      </c>
      <c r="F213" s="10" t="s">
        <v>430</v>
      </c>
    </row>
    <row r="214" spans="1:6" x14ac:dyDescent="0.2">
      <c r="A214" t="s">
        <v>198</v>
      </c>
      <c r="B214" s="4" t="s">
        <v>374</v>
      </c>
      <c r="C214" s="5" t="s">
        <v>272</v>
      </c>
      <c r="D214" s="5" t="s">
        <v>427</v>
      </c>
      <c r="E214" s="5">
        <v>17185.2</v>
      </c>
      <c r="F214" s="10" t="s">
        <v>428</v>
      </c>
    </row>
    <row r="215" spans="1:6" x14ac:dyDescent="0.2">
      <c r="A215" t="s">
        <v>198</v>
      </c>
      <c r="B215" s="4" t="s">
        <v>374</v>
      </c>
      <c r="C215" s="5" t="s">
        <v>272</v>
      </c>
      <c r="D215" s="5" t="s">
        <v>425</v>
      </c>
      <c r="E215" s="5">
        <v>154171.20000000001</v>
      </c>
      <c r="F215" s="10" t="s">
        <v>426</v>
      </c>
    </row>
    <row r="216" spans="1:6" x14ac:dyDescent="0.2">
      <c r="A216" t="s">
        <v>198</v>
      </c>
      <c r="B216" s="4" t="s">
        <v>374</v>
      </c>
      <c r="C216" s="5" t="s">
        <v>272</v>
      </c>
      <c r="D216" s="5" t="s">
        <v>423</v>
      </c>
      <c r="E216" s="5">
        <v>146829.6</v>
      </c>
      <c r="F216" s="10" t="s">
        <v>424</v>
      </c>
    </row>
    <row r="217" spans="1:6" x14ac:dyDescent="0.2">
      <c r="A217" t="s">
        <v>198</v>
      </c>
      <c r="B217" s="4" t="s">
        <v>374</v>
      </c>
      <c r="C217" s="5" t="s">
        <v>272</v>
      </c>
      <c r="D217" s="5" t="s">
        <v>421</v>
      </c>
      <c r="E217" s="5">
        <v>118166.39999999999</v>
      </c>
      <c r="F217" s="10" t="s">
        <v>422</v>
      </c>
    </row>
    <row r="218" spans="1:6" x14ac:dyDescent="0.2">
      <c r="A218" t="s">
        <v>198</v>
      </c>
      <c r="B218" s="4" t="s">
        <v>374</v>
      </c>
      <c r="C218" s="5" t="s">
        <v>272</v>
      </c>
      <c r="D218" s="5" t="s">
        <v>419</v>
      </c>
      <c r="E218" s="5">
        <v>112538.4</v>
      </c>
      <c r="F218" s="10" t="s">
        <v>420</v>
      </c>
    </row>
    <row r="219" spans="1:6" x14ac:dyDescent="0.2">
      <c r="A219" t="s">
        <v>198</v>
      </c>
      <c r="B219" s="4" t="s">
        <v>374</v>
      </c>
      <c r="C219" s="5" t="s">
        <v>272</v>
      </c>
      <c r="D219" s="5" t="s">
        <v>417</v>
      </c>
      <c r="E219" s="5">
        <v>7954.8</v>
      </c>
      <c r="F219" s="10" t="s">
        <v>418</v>
      </c>
    </row>
    <row r="220" spans="1:6" x14ac:dyDescent="0.2">
      <c r="A220" t="s">
        <v>198</v>
      </c>
      <c r="B220" s="4" t="s">
        <v>374</v>
      </c>
      <c r="C220" s="5" t="s">
        <v>272</v>
      </c>
      <c r="D220" s="5" t="s">
        <v>415</v>
      </c>
      <c r="E220" s="5">
        <v>14505.6</v>
      </c>
      <c r="F220" s="10" t="s">
        <v>416</v>
      </c>
    </row>
    <row r="221" spans="1:6" x14ac:dyDescent="0.2">
      <c r="A221" t="s">
        <v>198</v>
      </c>
      <c r="B221" s="4" t="s">
        <v>374</v>
      </c>
      <c r="C221" s="5" t="s">
        <v>272</v>
      </c>
      <c r="D221" s="5" t="s">
        <v>413</v>
      </c>
      <c r="E221" s="5">
        <v>12678</v>
      </c>
      <c r="F221" s="10" t="s">
        <v>414</v>
      </c>
    </row>
    <row r="222" spans="1:6" x14ac:dyDescent="0.2">
      <c r="A222" t="s">
        <v>198</v>
      </c>
      <c r="B222" s="4" t="s">
        <v>374</v>
      </c>
      <c r="C222" s="5" t="s">
        <v>272</v>
      </c>
      <c r="D222" s="5" t="s">
        <v>411</v>
      </c>
      <c r="E222" s="5">
        <v>669495.6</v>
      </c>
      <c r="F222" s="10" t="s">
        <v>412</v>
      </c>
    </row>
    <row r="223" spans="1:6" x14ac:dyDescent="0.2">
      <c r="A223" t="s">
        <v>198</v>
      </c>
      <c r="B223" s="4" t="s">
        <v>374</v>
      </c>
      <c r="C223" s="5" t="s">
        <v>272</v>
      </c>
      <c r="D223" s="5" t="s">
        <v>409</v>
      </c>
      <c r="E223" s="5">
        <v>741309.6</v>
      </c>
      <c r="F223" s="10" t="s">
        <v>410</v>
      </c>
    </row>
    <row r="224" spans="1:6" x14ac:dyDescent="0.2">
      <c r="A224" t="s">
        <v>198</v>
      </c>
      <c r="B224" s="4" t="s">
        <v>374</v>
      </c>
      <c r="C224" s="5" t="s">
        <v>272</v>
      </c>
      <c r="D224" s="5" t="s">
        <v>407</v>
      </c>
      <c r="E224" s="5">
        <v>461707.2</v>
      </c>
      <c r="F224" s="10" t="s">
        <v>408</v>
      </c>
    </row>
    <row r="225" spans="1:6" x14ac:dyDescent="0.2">
      <c r="A225" t="s">
        <v>198</v>
      </c>
      <c r="B225" s="4" t="s">
        <v>374</v>
      </c>
      <c r="C225" s="5" t="s">
        <v>272</v>
      </c>
      <c r="D225" s="5" t="s">
        <v>405</v>
      </c>
      <c r="E225" s="5">
        <v>443522.4</v>
      </c>
      <c r="F225" s="10" t="s">
        <v>406</v>
      </c>
    </row>
    <row r="226" spans="1:6" x14ac:dyDescent="0.2">
      <c r="A226" t="s">
        <v>198</v>
      </c>
      <c r="B226" s="4" t="s">
        <v>374</v>
      </c>
      <c r="C226" s="5" t="s">
        <v>272</v>
      </c>
      <c r="D226" s="5" t="s">
        <v>403</v>
      </c>
      <c r="E226" s="5">
        <v>465458.4</v>
      </c>
      <c r="F226" s="10" t="s">
        <v>404</v>
      </c>
    </row>
    <row r="227" spans="1:6" x14ac:dyDescent="0.2">
      <c r="A227" t="s">
        <v>198</v>
      </c>
      <c r="B227" s="4" t="s">
        <v>374</v>
      </c>
      <c r="C227" s="5" t="s">
        <v>272</v>
      </c>
      <c r="D227" s="5" t="s">
        <v>401</v>
      </c>
      <c r="E227" s="5">
        <v>903032.4</v>
      </c>
      <c r="F227" s="10" t="s">
        <v>402</v>
      </c>
    </row>
    <row r="228" spans="1:6" x14ac:dyDescent="0.2">
      <c r="A228" t="s">
        <v>198</v>
      </c>
      <c r="B228" s="4" t="s">
        <v>374</v>
      </c>
      <c r="C228" s="5" t="s">
        <v>272</v>
      </c>
      <c r="D228" s="5" t="s">
        <v>399</v>
      </c>
      <c r="E228" s="5">
        <v>727437.6</v>
      </c>
      <c r="F228" s="10" t="s">
        <v>400</v>
      </c>
    </row>
    <row r="229" spans="1:6" x14ac:dyDescent="0.2">
      <c r="A229" t="s">
        <v>198</v>
      </c>
      <c r="B229" s="4" t="s">
        <v>374</v>
      </c>
      <c r="C229" s="5" t="s">
        <v>272</v>
      </c>
      <c r="D229" s="5" t="s">
        <v>397</v>
      </c>
      <c r="E229" s="5">
        <v>788560.8</v>
      </c>
      <c r="F229" s="10" t="s">
        <v>398</v>
      </c>
    </row>
    <row r="230" spans="1:6" x14ac:dyDescent="0.2">
      <c r="A230" t="s">
        <v>198</v>
      </c>
      <c r="B230" s="4" t="s">
        <v>374</v>
      </c>
      <c r="C230" s="5" t="s">
        <v>272</v>
      </c>
      <c r="D230" s="5" t="s">
        <v>395</v>
      </c>
      <c r="E230" s="5">
        <v>472341.6</v>
      </c>
      <c r="F230" s="10" t="s">
        <v>396</v>
      </c>
    </row>
    <row r="231" spans="1:6" x14ac:dyDescent="0.2">
      <c r="A231" t="s">
        <v>198</v>
      </c>
      <c r="B231" s="4" t="s">
        <v>374</v>
      </c>
      <c r="C231" s="5" t="s">
        <v>272</v>
      </c>
      <c r="D231" s="5" t="s">
        <v>393</v>
      </c>
      <c r="E231" s="5">
        <v>430215.6</v>
      </c>
      <c r="F231" s="10" t="s">
        <v>394</v>
      </c>
    </row>
    <row r="232" spans="1:6" x14ac:dyDescent="0.2">
      <c r="A232" t="s">
        <v>198</v>
      </c>
      <c r="B232" s="4" t="s">
        <v>374</v>
      </c>
      <c r="C232" s="5" t="s">
        <v>272</v>
      </c>
      <c r="D232" s="5" t="s">
        <v>391</v>
      </c>
      <c r="E232" s="5">
        <v>109102.8</v>
      </c>
      <c r="F232" s="10" t="s">
        <v>392</v>
      </c>
    </row>
    <row r="233" spans="1:6" x14ac:dyDescent="0.2">
      <c r="A233" t="s">
        <v>198</v>
      </c>
      <c r="B233" s="4" t="s">
        <v>374</v>
      </c>
      <c r="C233" s="5" t="s">
        <v>272</v>
      </c>
      <c r="D233" s="5" t="s">
        <v>389</v>
      </c>
      <c r="E233" s="5">
        <v>103906.8</v>
      </c>
      <c r="F233" s="10" t="s">
        <v>390</v>
      </c>
    </row>
    <row r="234" spans="1:6" x14ac:dyDescent="0.2">
      <c r="A234" t="s">
        <v>198</v>
      </c>
      <c r="B234" s="4" t="s">
        <v>374</v>
      </c>
      <c r="C234" s="5" t="s">
        <v>272</v>
      </c>
      <c r="D234" s="5" t="s">
        <v>387</v>
      </c>
      <c r="E234" s="5">
        <v>75861.600000000006</v>
      </c>
      <c r="F234" s="10" t="s">
        <v>388</v>
      </c>
    </row>
    <row r="235" spans="1:6" x14ac:dyDescent="0.2">
      <c r="A235" t="s">
        <v>198</v>
      </c>
      <c r="B235" s="4" t="s">
        <v>374</v>
      </c>
      <c r="C235" s="5" t="s">
        <v>272</v>
      </c>
      <c r="D235" s="5" t="s">
        <v>385</v>
      </c>
      <c r="E235" s="5">
        <v>13814.4</v>
      </c>
      <c r="F235" s="10" t="s">
        <v>386</v>
      </c>
    </row>
    <row r="236" spans="1:6" x14ac:dyDescent="0.2">
      <c r="A236" t="s">
        <v>198</v>
      </c>
      <c r="B236" s="4" t="s">
        <v>374</v>
      </c>
      <c r="C236" s="5" t="s">
        <v>272</v>
      </c>
      <c r="D236" s="5" t="s">
        <v>383</v>
      </c>
      <c r="E236" s="5">
        <v>12074.4</v>
      </c>
      <c r="F236" s="10" t="s">
        <v>384</v>
      </c>
    </row>
    <row r="237" spans="1:6" x14ac:dyDescent="0.2">
      <c r="A237" t="s">
        <v>198</v>
      </c>
      <c r="B237" s="4" t="s">
        <v>374</v>
      </c>
      <c r="C237" s="5" t="s">
        <v>272</v>
      </c>
      <c r="D237" s="5" t="s">
        <v>381</v>
      </c>
      <c r="E237" s="5">
        <v>12282</v>
      </c>
      <c r="F237" s="10" t="s">
        <v>382</v>
      </c>
    </row>
    <row r="238" spans="1:6" x14ac:dyDescent="0.2">
      <c r="A238" t="s">
        <v>198</v>
      </c>
      <c r="B238" s="4" t="s">
        <v>374</v>
      </c>
      <c r="C238" s="5" t="s">
        <v>272</v>
      </c>
      <c r="D238" s="5" t="s">
        <v>379</v>
      </c>
      <c r="E238" s="5">
        <v>10263.6</v>
      </c>
      <c r="F238" s="10" t="s">
        <v>380</v>
      </c>
    </row>
    <row r="239" spans="1:6" x14ac:dyDescent="0.2">
      <c r="A239" t="s">
        <v>198</v>
      </c>
      <c r="B239" s="4" t="s">
        <v>374</v>
      </c>
      <c r="C239" s="5" t="s">
        <v>272</v>
      </c>
      <c r="D239" s="5" t="s">
        <v>377</v>
      </c>
      <c r="E239" s="5">
        <v>9810</v>
      </c>
      <c r="F239" s="10" t="s">
        <v>378</v>
      </c>
    </row>
    <row r="240" spans="1:6" x14ac:dyDescent="0.2">
      <c r="A240" t="s">
        <v>198</v>
      </c>
      <c r="B240" s="4" t="s">
        <v>374</v>
      </c>
      <c r="C240" s="5" t="s">
        <v>272</v>
      </c>
      <c r="D240" s="5" t="s">
        <v>375</v>
      </c>
      <c r="E240" s="5">
        <v>8547.67</v>
      </c>
      <c r="F240" s="10" t="s">
        <v>376</v>
      </c>
    </row>
    <row r="241" spans="1:6" x14ac:dyDescent="0.2">
      <c r="A241" t="s">
        <v>198</v>
      </c>
      <c r="B241" s="4" t="s">
        <v>339</v>
      </c>
      <c r="C241" s="5" t="s">
        <v>272</v>
      </c>
      <c r="D241" s="5" t="s">
        <v>372</v>
      </c>
      <c r="E241" s="5">
        <v>1426000</v>
      </c>
      <c r="F241" s="10" t="s">
        <v>373</v>
      </c>
    </row>
    <row r="242" spans="1:6" x14ac:dyDescent="0.2">
      <c r="A242" t="s">
        <v>198</v>
      </c>
      <c r="B242" s="4" t="s">
        <v>339</v>
      </c>
      <c r="C242" s="5" t="s">
        <v>272</v>
      </c>
      <c r="D242" s="5" t="s">
        <v>370</v>
      </c>
      <c r="E242" s="5">
        <v>1511700</v>
      </c>
      <c r="F242" s="10" t="s">
        <v>371</v>
      </c>
    </row>
    <row r="243" spans="1:6" x14ac:dyDescent="0.2">
      <c r="A243" t="s">
        <v>198</v>
      </c>
      <c r="B243" s="4" t="s">
        <v>339</v>
      </c>
      <c r="C243" s="5" t="s">
        <v>272</v>
      </c>
      <c r="D243" s="5" t="s">
        <v>368</v>
      </c>
      <c r="E243" s="5">
        <v>2968200</v>
      </c>
      <c r="F243" s="10" t="s">
        <v>369</v>
      </c>
    </row>
    <row r="244" spans="1:6" x14ac:dyDescent="0.2">
      <c r="A244" t="s">
        <v>198</v>
      </c>
      <c r="B244" s="4" t="s">
        <v>339</v>
      </c>
      <c r="C244" s="5" t="s">
        <v>272</v>
      </c>
      <c r="D244" s="5" t="s">
        <v>366</v>
      </c>
      <c r="E244" s="5">
        <v>3110200</v>
      </c>
      <c r="F244" s="10" t="s">
        <v>367</v>
      </c>
    </row>
    <row r="245" spans="1:6" x14ac:dyDescent="0.2">
      <c r="A245" t="s">
        <v>198</v>
      </c>
      <c r="B245" s="4" t="s">
        <v>339</v>
      </c>
      <c r="C245" s="5" t="s">
        <v>272</v>
      </c>
      <c r="D245" s="5" t="s">
        <v>364</v>
      </c>
      <c r="E245" s="5">
        <v>2648800</v>
      </c>
      <c r="F245" s="10" t="s">
        <v>365</v>
      </c>
    </row>
    <row r="246" spans="1:6" x14ac:dyDescent="0.2">
      <c r="A246" t="s">
        <v>198</v>
      </c>
      <c r="B246" s="4" t="s">
        <v>339</v>
      </c>
      <c r="C246" s="5" t="s">
        <v>272</v>
      </c>
      <c r="D246" s="5" t="s">
        <v>362</v>
      </c>
      <c r="E246" s="5">
        <v>2949900</v>
      </c>
      <c r="F246" s="10" t="s">
        <v>363</v>
      </c>
    </row>
    <row r="247" spans="1:6" x14ac:dyDescent="0.2">
      <c r="A247" t="s">
        <v>198</v>
      </c>
      <c r="B247" s="4" t="s">
        <v>339</v>
      </c>
      <c r="C247" s="5" t="s">
        <v>272</v>
      </c>
      <c r="D247" s="5" t="s">
        <v>360</v>
      </c>
      <c r="E247" s="5">
        <v>3232600</v>
      </c>
      <c r="F247" s="10" t="s">
        <v>361</v>
      </c>
    </row>
    <row r="248" spans="1:6" x14ac:dyDescent="0.2">
      <c r="A248" t="s">
        <v>198</v>
      </c>
      <c r="B248" s="4" t="s">
        <v>339</v>
      </c>
      <c r="C248" s="5" t="s">
        <v>272</v>
      </c>
      <c r="D248" s="5" t="s">
        <v>358</v>
      </c>
      <c r="E248" s="5">
        <v>2246100</v>
      </c>
      <c r="F248" s="10" t="s">
        <v>359</v>
      </c>
    </row>
    <row r="249" spans="1:6" x14ac:dyDescent="0.2">
      <c r="A249" t="s">
        <v>198</v>
      </c>
      <c r="B249" s="4" t="s">
        <v>339</v>
      </c>
      <c r="C249" s="5" t="s">
        <v>272</v>
      </c>
      <c r="D249" s="5" t="s">
        <v>356</v>
      </c>
      <c r="E249" s="5">
        <v>1703900</v>
      </c>
      <c r="F249" s="10" t="s">
        <v>357</v>
      </c>
    </row>
    <row r="250" spans="1:6" x14ac:dyDescent="0.2">
      <c r="A250" t="s">
        <v>198</v>
      </c>
      <c r="B250" s="4" t="s">
        <v>339</v>
      </c>
      <c r="C250" s="5" t="s">
        <v>272</v>
      </c>
      <c r="D250" s="5" t="s">
        <v>354</v>
      </c>
      <c r="E250" s="5">
        <v>1882600</v>
      </c>
      <c r="F250" s="10" t="s">
        <v>355</v>
      </c>
    </row>
    <row r="251" spans="1:6" x14ac:dyDescent="0.2">
      <c r="A251" t="s">
        <v>198</v>
      </c>
      <c r="B251" s="4" t="s">
        <v>339</v>
      </c>
      <c r="C251" s="5" t="s">
        <v>272</v>
      </c>
      <c r="D251" s="5" t="s">
        <v>352</v>
      </c>
      <c r="E251" s="5">
        <v>3131000</v>
      </c>
      <c r="F251" s="10" t="s">
        <v>353</v>
      </c>
    </row>
    <row r="252" spans="1:6" x14ac:dyDescent="0.2">
      <c r="A252" t="s">
        <v>198</v>
      </c>
      <c r="B252" s="4" t="s">
        <v>339</v>
      </c>
      <c r="C252" s="5" t="s">
        <v>272</v>
      </c>
      <c r="D252" s="5" t="s">
        <v>350</v>
      </c>
      <c r="E252" s="5">
        <v>3419900</v>
      </c>
      <c r="F252" s="10" t="s">
        <v>351</v>
      </c>
    </row>
    <row r="253" spans="1:6" x14ac:dyDescent="0.2">
      <c r="A253" t="s">
        <v>198</v>
      </c>
      <c r="B253" s="4" t="s">
        <v>339</v>
      </c>
      <c r="C253" s="5" t="s">
        <v>272</v>
      </c>
      <c r="D253" s="5" t="s">
        <v>348</v>
      </c>
      <c r="E253" s="5">
        <v>2938900</v>
      </c>
      <c r="F253" s="10" t="s">
        <v>349</v>
      </c>
    </row>
    <row r="254" spans="1:6" x14ac:dyDescent="0.2">
      <c r="A254" t="s">
        <v>198</v>
      </c>
      <c r="B254" s="4" t="s">
        <v>339</v>
      </c>
      <c r="C254" s="5" t="s">
        <v>272</v>
      </c>
      <c r="D254" s="5" t="s">
        <v>346</v>
      </c>
      <c r="E254" s="5">
        <v>3269400</v>
      </c>
      <c r="F254" s="10" t="s">
        <v>347</v>
      </c>
    </row>
    <row r="255" spans="1:6" x14ac:dyDescent="0.2">
      <c r="A255" t="s">
        <v>198</v>
      </c>
      <c r="B255" s="4" t="s">
        <v>339</v>
      </c>
      <c r="C255" s="5" t="s">
        <v>272</v>
      </c>
      <c r="D255" s="5" t="s">
        <v>344</v>
      </c>
      <c r="E255" s="5">
        <v>3716100</v>
      </c>
      <c r="F255" s="10" t="s">
        <v>345</v>
      </c>
    </row>
    <row r="256" spans="1:6" x14ac:dyDescent="0.2">
      <c r="A256" t="s">
        <v>198</v>
      </c>
      <c r="B256" s="4" t="s">
        <v>339</v>
      </c>
      <c r="C256" s="5" t="s">
        <v>272</v>
      </c>
      <c r="D256" s="5" t="s">
        <v>342</v>
      </c>
      <c r="E256" s="5">
        <v>1532500</v>
      </c>
      <c r="F256" s="10" t="s">
        <v>343</v>
      </c>
    </row>
    <row r="257" spans="1:6" x14ac:dyDescent="0.2">
      <c r="A257" t="s">
        <v>198</v>
      </c>
      <c r="B257" s="4" t="s">
        <v>339</v>
      </c>
      <c r="C257" s="5" t="s">
        <v>272</v>
      </c>
      <c r="D257" s="5" t="s">
        <v>340</v>
      </c>
      <c r="E257" s="5">
        <v>1571700</v>
      </c>
      <c r="F257" s="10" t="s">
        <v>341</v>
      </c>
    </row>
    <row r="258" spans="1:6" x14ac:dyDescent="0.2">
      <c r="A258" t="s">
        <v>198</v>
      </c>
      <c r="B258" s="4" t="s">
        <v>195</v>
      </c>
      <c r="C258" s="5" t="s">
        <v>196</v>
      </c>
      <c r="D258" s="5" t="s">
        <v>231</v>
      </c>
      <c r="E258" s="5">
        <v>11139</v>
      </c>
      <c r="F258" s="10" t="s">
        <v>232</v>
      </c>
    </row>
    <row r="259" spans="1:6" x14ac:dyDescent="0.2">
      <c r="A259" t="s">
        <v>198</v>
      </c>
      <c r="B259" s="4" t="s">
        <v>195</v>
      </c>
      <c r="C259" s="5" t="s">
        <v>196</v>
      </c>
      <c r="D259" s="5" t="s">
        <v>229</v>
      </c>
      <c r="E259" s="5">
        <v>53976.2</v>
      </c>
      <c r="F259" s="10" t="s">
        <v>230</v>
      </c>
    </row>
    <row r="260" spans="1:6" x14ac:dyDescent="0.2">
      <c r="A260" t="s">
        <v>198</v>
      </c>
      <c r="B260" s="4" t="s">
        <v>195</v>
      </c>
      <c r="C260" s="5" t="s">
        <v>196</v>
      </c>
      <c r="D260" s="5" t="s">
        <v>226</v>
      </c>
      <c r="E260" s="5">
        <v>94391.73</v>
      </c>
      <c r="F260" s="10" t="s">
        <v>227</v>
      </c>
    </row>
    <row r="261" spans="1:6" x14ac:dyDescent="0.2">
      <c r="A261" t="s">
        <v>198</v>
      </c>
      <c r="B261" s="4" t="s">
        <v>195</v>
      </c>
      <c r="C261" s="5" t="s">
        <v>196</v>
      </c>
      <c r="D261" s="5" t="s">
        <v>228</v>
      </c>
      <c r="E261" s="5">
        <v>2883.4</v>
      </c>
      <c r="F261" s="10" t="s">
        <v>227</v>
      </c>
    </row>
    <row r="262" spans="1:6" x14ac:dyDescent="0.2">
      <c r="A262" t="s">
        <v>198</v>
      </c>
      <c r="B262" s="4" t="s">
        <v>195</v>
      </c>
      <c r="C262" s="5" t="s">
        <v>196</v>
      </c>
      <c r="D262" s="5" t="s">
        <v>224</v>
      </c>
      <c r="E262" s="5">
        <v>14245.4</v>
      </c>
      <c r="F262" s="10" t="s">
        <v>225</v>
      </c>
    </row>
    <row r="263" spans="1:6" x14ac:dyDescent="0.2">
      <c r="A263" t="s">
        <v>198</v>
      </c>
      <c r="B263" s="4" t="s">
        <v>195</v>
      </c>
      <c r="C263" s="5" t="s">
        <v>196</v>
      </c>
      <c r="D263" s="5" t="s">
        <v>221</v>
      </c>
      <c r="E263" s="5">
        <v>10260.9</v>
      </c>
      <c r="F263" s="10" t="s">
        <v>222</v>
      </c>
    </row>
    <row r="264" spans="1:6" x14ac:dyDescent="0.2">
      <c r="A264" t="s">
        <v>198</v>
      </c>
      <c r="B264" s="4" t="s">
        <v>195</v>
      </c>
      <c r="C264" s="5" t="s">
        <v>196</v>
      </c>
      <c r="D264" s="5" t="s">
        <v>223</v>
      </c>
      <c r="E264" s="5">
        <v>89896.16</v>
      </c>
      <c r="F264" s="10" t="s">
        <v>222</v>
      </c>
    </row>
    <row r="265" spans="1:6" x14ac:dyDescent="0.2">
      <c r="A265" t="s">
        <v>198</v>
      </c>
      <c r="B265" s="4" t="s">
        <v>195</v>
      </c>
      <c r="C265" s="5" t="s">
        <v>196</v>
      </c>
      <c r="D265" s="5" t="s">
        <v>219</v>
      </c>
      <c r="E265" s="5">
        <v>17318.599999999999</v>
      </c>
      <c r="F265" s="10" t="s">
        <v>220</v>
      </c>
    </row>
    <row r="266" spans="1:6" x14ac:dyDescent="0.2">
      <c r="A266" t="s">
        <v>198</v>
      </c>
      <c r="B266" s="4" t="s">
        <v>195</v>
      </c>
      <c r="C266" s="5" t="s">
        <v>196</v>
      </c>
      <c r="D266" s="5" t="s">
        <v>216</v>
      </c>
      <c r="E266" s="5">
        <v>6347.9</v>
      </c>
      <c r="F266" s="10" t="s">
        <v>217</v>
      </c>
    </row>
    <row r="267" spans="1:6" x14ac:dyDescent="0.2">
      <c r="A267" t="s">
        <v>198</v>
      </c>
      <c r="B267" s="4" t="s">
        <v>195</v>
      </c>
      <c r="C267" s="5" t="s">
        <v>196</v>
      </c>
      <c r="D267" s="5" t="s">
        <v>218</v>
      </c>
      <c r="E267" s="5">
        <v>6216.6</v>
      </c>
      <c r="F267" s="10" t="s">
        <v>217</v>
      </c>
    </row>
    <row r="268" spans="1:6" x14ac:dyDescent="0.2">
      <c r="A268" t="s">
        <v>198</v>
      </c>
      <c r="B268" s="4" t="s">
        <v>195</v>
      </c>
      <c r="C268" s="5" t="s">
        <v>196</v>
      </c>
      <c r="D268" s="5" t="s">
        <v>213</v>
      </c>
      <c r="E268" s="5">
        <v>86365.28</v>
      </c>
      <c r="F268" s="10" t="s">
        <v>214</v>
      </c>
    </row>
    <row r="269" spans="1:6" x14ac:dyDescent="0.2">
      <c r="A269" t="s">
        <v>198</v>
      </c>
      <c r="B269" s="4" t="s">
        <v>195</v>
      </c>
      <c r="C269" s="5" t="s">
        <v>196</v>
      </c>
      <c r="D269" s="5" t="s">
        <v>215</v>
      </c>
      <c r="E269" s="5">
        <v>5661.5</v>
      </c>
      <c r="F269" s="10" t="s">
        <v>214</v>
      </c>
    </row>
    <row r="270" spans="1:6" x14ac:dyDescent="0.2">
      <c r="A270" t="s">
        <v>198</v>
      </c>
      <c r="B270" s="4" t="s">
        <v>195</v>
      </c>
      <c r="C270" s="5" t="s">
        <v>196</v>
      </c>
      <c r="D270" s="5" t="s">
        <v>211</v>
      </c>
      <c r="E270" s="5">
        <v>13721.5</v>
      </c>
      <c r="F270" s="10" t="s">
        <v>212</v>
      </c>
    </row>
    <row r="271" spans="1:6" x14ac:dyDescent="0.2">
      <c r="A271" t="s">
        <v>198</v>
      </c>
      <c r="B271" s="4" t="s">
        <v>195</v>
      </c>
      <c r="C271" s="5" t="s">
        <v>196</v>
      </c>
      <c r="D271" s="5" t="s">
        <v>209</v>
      </c>
      <c r="E271" s="5">
        <v>83101.08</v>
      </c>
      <c r="F271" s="10" t="s">
        <v>210</v>
      </c>
    </row>
    <row r="272" spans="1:6" x14ac:dyDescent="0.2">
      <c r="A272" t="s">
        <v>198</v>
      </c>
      <c r="B272" s="4" t="s">
        <v>195</v>
      </c>
      <c r="C272" s="5" t="s">
        <v>196</v>
      </c>
      <c r="D272" s="5" t="s">
        <v>207</v>
      </c>
      <c r="E272" s="5">
        <v>6251.7</v>
      </c>
      <c r="F272" s="10" t="s">
        <v>208</v>
      </c>
    </row>
    <row r="273" spans="1:6" x14ac:dyDescent="0.2">
      <c r="A273" t="s">
        <v>198</v>
      </c>
      <c r="B273" s="4" t="s">
        <v>195</v>
      </c>
      <c r="C273" s="5" t="s">
        <v>196</v>
      </c>
      <c r="D273" s="5" t="s">
        <v>205</v>
      </c>
      <c r="E273" s="5">
        <v>53223.3</v>
      </c>
      <c r="F273" s="10" t="s">
        <v>206</v>
      </c>
    </row>
    <row r="274" spans="1:6" x14ac:dyDescent="0.2">
      <c r="A274" t="s">
        <v>198</v>
      </c>
      <c r="B274" s="4" t="s">
        <v>195</v>
      </c>
      <c r="C274" s="5" t="s">
        <v>196</v>
      </c>
      <c r="D274" s="5" t="s">
        <v>202</v>
      </c>
      <c r="E274" s="5">
        <v>83874.77</v>
      </c>
      <c r="F274" s="10" t="s">
        <v>203</v>
      </c>
    </row>
    <row r="275" spans="1:6" x14ac:dyDescent="0.2">
      <c r="A275" t="s">
        <v>198</v>
      </c>
      <c r="B275" s="4" t="s">
        <v>195</v>
      </c>
      <c r="C275" s="5" t="s">
        <v>196</v>
      </c>
      <c r="D275" s="5" t="s">
        <v>204</v>
      </c>
      <c r="E275" s="5">
        <v>74828.22</v>
      </c>
      <c r="F275" s="10" t="s">
        <v>203</v>
      </c>
    </row>
    <row r="276" spans="1:6" x14ac:dyDescent="0.2">
      <c r="A276" t="s">
        <v>198</v>
      </c>
      <c r="B276" s="4" t="s">
        <v>195</v>
      </c>
      <c r="C276" s="5" t="s">
        <v>196</v>
      </c>
      <c r="D276" s="5" t="s">
        <v>200</v>
      </c>
      <c r="E276" s="5">
        <v>78570.22</v>
      </c>
      <c r="F276" s="10" t="s">
        <v>201</v>
      </c>
    </row>
    <row r="277" spans="1:6" x14ac:dyDescent="0.2">
      <c r="A277" t="s">
        <v>198</v>
      </c>
      <c r="B277" s="4" t="s">
        <v>195</v>
      </c>
      <c r="C277" s="5" t="s">
        <v>196</v>
      </c>
      <c r="D277" s="5" t="s">
        <v>197</v>
      </c>
      <c r="E277" s="5">
        <v>129236.82</v>
      </c>
      <c r="F277" s="10" t="s">
        <v>199</v>
      </c>
    </row>
    <row r="278" spans="1:6" x14ac:dyDescent="0.2">
      <c r="A278" t="s">
        <v>198</v>
      </c>
      <c r="B278" s="4" t="s">
        <v>195</v>
      </c>
      <c r="C278" s="5" t="s">
        <v>196</v>
      </c>
      <c r="D278" s="5" t="s">
        <v>269</v>
      </c>
      <c r="E278" s="5">
        <v>14059.5</v>
      </c>
      <c r="F278" s="10" t="s">
        <v>270</v>
      </c>
    </row>
    <row r="279" spans="1:6" x14ac:dyDescent="0.2">
      <c r="A279" t="s">
        <v>198</v>
      </c>
      <c r="B279" s="4" t="s">
        <v>195</v>
      </c>
      <c r="C279" s="5" t="s">
        <v>196</v>
      </c>
      <c r="D279" s="5" t="s">
        <v>267</v>
      </c>
      <c r="E279" s="5">
        <v>16593.2</v>
      </c>
      <c r="F279" s="10" t="s">
        <v>268</v>
      </c>
    </row>
    <row r="280" spans="1:6" x14ac:dyDescent="0.2">
      <c r="A280" t="s">
        <v>198</v>
      </c>
      <c r="B280" s="4" t="s">
        <v>195</v>
      </c>
      <c r="C280" s="5" t="s">
        <v>196</v>
      </c>
      <c r="D280" s="5" t="s">
        <v>265</v>
      </c>
      <c r="E280" s="5">
        <v>23218.95</v>
      </c>
      <c r="F280" s="10" t="s">
        <v>266</v>
      </c>
    </row>
    <row r="281" spans="1:6" x14ac:dyDescent="0.2">
      <c r="A281" t="s">
        <v>198</v>
      </c>
      <c r="B281" s="4" t="s">
        <v>195</v>
      </c>
      <c r="C281" s="5" t="s">
        <v>196</v>
      </c>
      <c r="D281" s="5" t="s">
        <v>263</v>
      </c>
      <c r="E281" s="5">
        <v>27476.74</v>
      </c>
      <c r="F281" s="10" t="s">
        <v>264</v>
      </c>
    </row>
    <row r="282" spans="1:6" x14ac:dyDescent="0.2">
      <c r="A282" t="s">
        <v>198</v>
      </c>
      <c r="B282" s="4" t="s">
        <v>195</v>
      </c>
      <c r="C282" s="5" t="s">
        <v>196</v>
      </c>
      <c r="D282" s="5" t="s">
        <v>261</v>
      </c>
      <c r="E282" s="5">
        <v>30959.16</v>
      </c>
      <c r="F282" s="10" t="s">
        <v>262</v>
      </c>
    </row>
    <row r="283" spans="1:6" x14ac:dyDescent="0.2">
      <c r="A283" t="s">
        <v>198</v>
      </c>
      <c r="B283" s="4" t="s">
        <v>195</v>
      </c>
      <c r="C283" s="5" t="s">
        <v>196</v>
      </c>
      <c r="D283" s="5" t="s">
        <v>258</v>
      </c>
      <c r="E283" s="5">
        <v>168545</v>
      </c>
      <c r="F283" s="10" t="s">
        <v>259</v>
      </c>
    </row>
    <row r="284" spans="1:6" x14ac:dyDescent="0.2">
      <c r="A284" t="s">
        <v>198</v>
      </c>
      <c r="B284" s="4" t="s">
        <v>195</v>
      </c>
      <c r="C284" s="5" t="s">
        <v>196</v>
      </c>
      <c r="D284" s="5" t="s">
        <v>260</v>
      </c>
      <c r="E284" s="5">
        <v>10219.299999999999</v>
      </c>
      <c r="F284" s="10" t="s">
        <v>259</v>
      </c>
    </row>
    <row r="285" spans="1:6" x14ac:dyDescent="0.2">
      <c r="A285" t="s">
        <v>198</v>
      </c>
      <c r="B285" s="4" t="s">
        <v>195</v>
      </c>
      <c r="C285" s="5" t="s">
        <v>196</v>
      </c>
      <c r="D285" s="5" t="s">
        <v>256</v>
      </c>
      <c r="E285" s="5">
        <v>81644.740000000005</v>
      </c>
      <c r="F285" s="10" t="s">
        <v>257</v>
      </c>
    </row>
    <row r="286" spans="1:6" x14ac:dyDescent="0.2">
      <c r="A286" t="s">
        <v>198</v>
      </c>
      <c r="B286" s="4" t="s">
        <v>195</v>
      </c>
      <c r="C286" s="5" t="s">
        <v>196</v>
      </c>
      <c r="D286" s="5" t="s">
        <v>254</v>
      </c>
      <c r="E286" s="5">
        <v>21069.1</v>
      </c>
      <c r="F286" s="10" t="s">
        <v>255</v>
      </c>
    </row>
    <row r="287" spans="1:6" x14ac:dyDescent="0.2">
      <c r="A287" t="s">
        <v>198</v>
      </c>
      <c r="B287" s="4" t="s">
        <v>195</v>
      </c>
      <c r="C287" s="5" t="s">
        <v>196</v>
      </c>
      <c r="D287" s="5" t="s">
        <v>252</v>
      </c>
      <c r="E287" s="5">
        <v>9096.1</v>
      </c>
      <c r="F287" s="10" t="s">
        <v>253</v>
      </c>
    </row>
    <row r="288" spans="1:6" x14ac:dyDescent="0.2">
      <c r="A288" t="s">
        <v>198</v>
      </c>
      <c r="B288" s="4" t="s">
        <v>195</v>
      </c>
      <c r="C288" s="5" t="s">
        <v>196</v>
      </c>
      <c r="D288" s="5" t="s">
        <v>250</v>
      </c>
      <c r="E288" s="5">
        <v>61678.5</v>
      </c>
      <c r="F288" s="10" t="s">
        <v>251</v>
      </c>
    </row>
    <row r="289" spans="1:6" x14ac:dyDescent="0.2">
      <c r="A289" t="s">
        <v>198</v>
      </c>
      <c r="B289" s="4" t="s">
        <v>195</v>
      </c>
      <c r="C289" s="5" t="s">
        <v>196</v>
      </c>
      <c r="D289" s="5" t="s">
        <v>248</v>
      </c>
      <c r="E289" s="5">
        <v>94158.52</v>
      </c>
      <c r="F289" s="10" t="s">
        <v>249</v>
      </c>
    </row>
    <row r="290" spans="1:6" x14ac:dyDescent="0.2">
      <c r="A290" t="s">
        <v>198</v>
      </c>
      <c r="B290" s="4" t="s">
        <v>195</v>
      </c>
      <c r="C290" s="5" t="s">
        <v>196</v>
      </c>
      <c r="D290" s="5" t="s">
        <v>246</v>
      </c>
      <c r="E290" s="5">
        <v>9314.5</v>
      </c>
      <c r="F290" s="10" t="s">
        <v>247</v>
      </c>
    </row>
    <row r="291" spans="1:6" x14ac:dyDescent="0.2">
      <c r="A291" t="s">
        <v>198</v>
      </c>
      <c r="B291" s="4" t="s">
        <v>195</v>
      </c>
      <c r="C291" s="5" t="s">
        <v>196</v>
      </c>
      <c r="D291" s="5" t="s">
        <v>244</v>
      </c>
      <c r="E291" s="5">
        <v>18288.400000000001</v>
      </c>
      <c r="F291" s="10" t="s">
        <v>245</v>
      </c>
    </row>
    <row r="292" spans="1:6" x14ac:dyDescent="0.2">
      <c r="A292" t="s">
        <v>198</v>
      </c>
      <c r="B292" s="4" t="s">
        <v>195</v>
      </c>
      <c r="C292" s="5" t="s">
        <v>196</v>
      </c>
      <c r="D292" s="5" t="s">
        <v>242</v>
      </c>
      <c r="E292" s="5">
        <v>179401.3</v>
      </c>
      <c r="F292" s="10" t="s">
        <v>243</v>
      </c>
    </row>
    <row r="293" spans="1:6" x14ac:dyDescent="0.2">
      <c r="A293" t="s">
        <v>198</v>
      </c>
      <c r="B293" s="4" t="s">
        <v>195</v>
      </c>
      <c r="C293" s="5" t="s">
        <v>196</v>
      </c>
      <c r="D293" s="5" t="s">
        <v>240</v>
      </c>
      <c r="E293" s="5">
        <v>19246.5</v>
      </c>
      <c r="F293" s="10" t="s">
        <v>241</v>
      </c>
    </row>
    <row r="294" spans="1:6" x14ac:dyDescent="0.2">
      <c r="A294" t="s">
        <v>198</v>
      </c>
      <c r="B294" s="4" t="s">
        <v>195</v>
      </c>
      <c r="C294" s="5" t="s">
        <v>196</v>
      </c>
      <c r="D294" s="5" t="s">
        <v>238</v>
      </c>
      <c r="E294" s="5">
        <v>19992.7</v>
      </c>
      <c r="F294" s="10" t="s">
        <v>239</v>
      </c>
    </row>
    <row r="295" spans="1:6" x14ac:dyDescent="0.2">
      <c r="A295" t="s">
        <v>198</v>
      </c>
      <c r="B295" s="4" t="s">
        <v>195</v>
      </c>
      <c r="C295" s="5" t="s">
        <v>196</v>
      </c>
      <c r="D295" s="5" t="s">
        <v>235</v>
      </c>
      <c r="E295" s="5">
        <v>217255.38</v>
      </c>
      <c r="F295" s="10" t="s">
        <v>236</v>
      </c>
    </row>
    <row r="296" spans="1:6" x14ac:dyDescent="0.2">
      <c r="A296" t="s">
        <v>198</v>
      </c>
      <c r="B296" s="4" t="s">
        <v>195</v>
      </c>
      <c r="C296" s="5" t="s">
        <v>196</v>
      </c>
      <c r="D296" s="5" t="s">
        <v>237</v>
      </c>
      <c r="E296" s="5">
        <v>59263.1</v>
      </c>
      <c r="F296" s="10" t="s">
        <v>236</v>
      </c>
    </row>
    <row r="297" spans="1:6" x14ac:dyDescent="0.2">
      <c r="A297" t="s">
        <v>198</v>
      </c>
      <c r="B297" s="4" t="s">
        <v>195</v>
      </c>
      <c r="C297" s="5" t="s">
        <v>196</v>
      </c>
      <c r="D297" s="5" t="s">
        <v>233</v>
      </c>
      <c r="E297" s="5">
        <v>9839.7000000000007</v>
      </c>
      <c r="F297" s="10" t="s">
        <v>234</v>
      </c>
    </row>
    <row r="298" spans="1:6" x14ac:dyDescent="0.2">
      <c r="A298" t="s">
        <v>3</v>
      </c>
      <c r="B298" s="4" t="s">
        <v>0</v>
      </c>
      <c r="C298" s="5" t="s">
        <v>1</v>
      </c>
      <c r="D298" s="5" t="s">
        <v>148</v>
      </c>
      <c r="E298" s="5">
        <v>12165</v>
      </c>
      <c r="F298" s="10" t="s">
        <v>149</v>
      </c>
    </row>
    <row r="299" spans="1:6" x14ac:dyDescent="0.2">
      <c r="A299" t="s">
        <v>3</v>
      </c>
      <c r="B299" s="4" t="s">
        <v>0</v>
      </c>
      <c r="C299" s="5" t="s">
        <v>1</v>
      </c>
      <c r="D299" s="5" t="s">
        <v>150</v>
      </c>
      <c r="E299" s="5">
        <v>5265</v>
      </c>
      <c r="F299" s="10" t="s">
        <v>149</v>
      </c>
    </row>
    <row r="300" spans="1:6" x14ac:dyDescent="0.2">
      <c r="A300" t="s">
        <v>3</v>
      </c>
      <c r="B300" s="4" t="s">
        <v>0</v>
      </c>
      <c r="C300" s="5" t="s">
        <v>1</v>
      </c>
      <c r="D300" s="5" t="s">
        <v>151</v>
      </c>
      <c r="E300" s="5">
        <v>12376</v>
      </c>
      <c r="F300" s="10" t="s">
        <v>149</v>
      </c>
    </row>
    <row r="301" spans="1:6" x14ac:dyDescent="0.2">
      <c r="A301" t="s">
        <v>3</v>
      </c>
      <c r="B301" s="4" t="s">
        <v>0</v>
      </c>
      <c r="C301" s="5" t="s">
        <v>1</v>
      </c>
      <c r="D301" s="5" t="s">
        <v>144</v>
      </c>
      <c r="E301" s="5">
        <v>17158</v>
      </c>
      <c r="F301" s="10" t="s">
        <v>145</v>
      </c>
    </row>
    <row r="302" spans="1:6" x14ac:dyDescent="0.2">
      <c r="A302" t="s">
        <v>3</v>
      </c>
      <c r="B302" s="4" t="s">
        <v>0</v>
      </c>
      <c r="C302" s="5" t="s">
        <v>1</v>
      </c>
      <c r="D302" s="5" t="s">
        <v>146</v>
      </c>
      <c r="E302" s="5">
        <v>9607</v>
      </c>
      <c r="F302" s="10" t="s">
        <v>145</v>
      </c>
    </row>
    <row r="303" spans="1:6" x14ac:dyDescent="0.2">
      <c r="A303" t="s">
        <v>3</v>
      </c>
      <c r="B303" s="4" t="s">
        <v>0</v>
      </c>
      <c r="C303" s="5" t="s">
        <v>1</v>
      </c>
      <c r="D303" s="5" t="s">
        <v>147</v>
      </c>
      <c r="E303" s="5">
        <v>15836</v>
      </c>
      <c r="F303" s="10" t="s">
        <v>145</v>
      </c>
    </row>
    <row r="304" spans="1:6" x14ac:dyDescent="0.2">
      <c r="A304" t="s">
        <v>3</v>
      </c>
      <c r="B304" s="4" t="s">
        <v>0</v>
      </c>
      <c r="C304" s="5" t="s">
        <v>1</v>
      </c>
      <c r="D304" s="5" t="s">
        <v>140</v>
      </c>
      <c r="E304" s="5">
        <v>7489</v>
      </c>
      <c r="F304" s="10" t="s">
        <v>141</v>
      </c>
    </row>
    <row r="305" spans="1:6" x14ac:dyDescent="0.2">
      <c r="A305" t="s">
        <v>3</v>
      </c>
      <c r="B305" s="4" t="s">
        <v>0</v>
      </c>
      <c r="C305" s="5" t="s">
        <v>1</v>
      </c>
      <c r="D305" s="5" t="s">
        <v>142</v>
      </c>
      <c r="E305" s="5">
        <v>11127</v>
      </c>
      <c r="F305" s="10" t="s">
        <v>141</v>
      </c>
    </row>
    <row r="306" spans="1:6" x14ac:dyDescent="0.2">
      <c r="A306" t="s">
        <v>3</v>
      </c>
      <c r="B306" s="4" t="s">
        <v>0</v>
      </c>
      <c r="C306" s="5" t="s">
        <v>1</v>
      </c>
      <c r="D306" s="5" t="s">
        <v>143</v>
      </c>
      <c r="E306" s="5">
        <v>12900</v>
      </c>
      <c r="F306" s="10" t="s">
        <v>141</v>
      </c>
    </row>
    <row r="307" spans="1:6" x14ac:dyDescent="0.2">
      <c r="A307" t="s">
        <v>3</v>
      </c>
      <c r="B307" s="4" t="s">
        <v>0</v>
      </c>
      <c r="C307" s="5" t="s">
        <v>1</v>
      </c>
      <c r="D307" s="5" t="s">
        <v>136</v>
      </c>
      <c r="E307" s="5">
        <v>46044</v>
      </c>
      <c r="F307" s="10" t="s">
        <v>137</v>
      </c>
    </row>
    <row r="308" spans="1:6" x14ac:dyDescent="0.2">
      <c r="A308" t="s">
        <v>3</v>
      </c>
      <c r="B308" s="4" t="s">
        <v>0</v>
      </c>
      <c r="C308" s="5" t="s">
        <v>1</v>
      </c>
      <c r="D308" s="5" t="s">
        <v>138</v>
      </c>
      <c r="E308" s="5">
        <v>35451</v>
      </c>
      <c r="F308" s="10" t="s">
        <v>137</v>
      </c>
    </row>
    <row r="309" spans="1:6" x14ac:dyDescent="0.2">
      <c r="A309" t="s">
        <v>3</v>
      </c>
      <c r="B309" s="4" t="s">
        <v>0</v>
      </c>
      <c r="C309" s="5" t="s">
        <v>1</v>
      </c>
      <c r="D309" s="5" t="s">
        <v>139</v>
      </c>
      <c r="E309" s="5">
        <v>31360</v>
      </c>
      <c r="F309" s="10" t="s">
        <v>137</v>
      </c>
    </row>
    <row r="310" spans="1:6" x14ac:dyDescent="0.2">
      <c r="A310" t="s">
        <v>3</v>
      </c>
      <c r="B310" s="4" t="s">
        <v>0</v>
      </c>
      <c r="C310" s="5" t="s">
        <v>1</v>
      </c>
      <c r="D310" s="5" t="s">
        <v>132</v>
      </c>
      <c r="E310" s="5">
        <v>35660</v>
      </c>
      <c r="F310" s="10" t="s">
        <v>133</v>
      </c>
    </row>
    <row r="311" spans="1:6" x14ac:dyDescent="0.2">
      <c r="A311" t="s">
        <v>3</v>
      </c>
      <c r="B311" s="4" t="s">
        <v>0</v>
      </c>
      <c r="C311" s="5" t="s">
        <v>1</v>
      </c>
      <c r="D311" s="5" t="s">
        <v>134</v>
      </c>
      <c r="E311" s="5">
        <v>39620</v>
      </c>
      <c r="F311" s="10" t="s">
        <v>133</v>
      </c>
    </row>
    <row r="312" spans="1:6" x14ac:dyDescent="0.2">
      <c r="A312" t="s">
        <v>3</v>
      </c>
      <c r="B312" s="4" t="s">
        <v>0</v>
      </c>
      <c r="C312" s="5" t="s">
        <v>1</v>
      </c>
      <c r="D312" s="5" t="s">
        <v>135</v>
      </c>
      <c r="E312" s="5">
        <v>34611</v>
      </c>
      <c r="F312" s="10" t="s">
        <v>133</v>
      </c>
    </row>
    <row r="313" spans="1:6" x14ac:dyDescent="0.2">
      <c r="A313" t="s">
        <v>3</v>
      </c>
      <c r="B313" s="4" t="s">
        <v>0</v>
      </c>
      <c r="C313" s="5" t="s">
        <v>1</v>
      </c>
      <c r="D313" s="5" t="s">
        <v>127</v>
      </c>
      <c r="E313" s="5">
        <v>10100</v>
      </c>
      <c r="F313" s="10" t="s">
        <v>128</v>
      </c>
    </row>
    <row r="314" spans="1:6" x14ac:dyDescent="0.2">
      <c r="A314" t="s">
        <v>3</v>
      </c>
      <c r="B314" s="4" t="s">
        <v>0</v>
      </c>
      <c r="C314" s="5" t="s">
        <v>1</v>
      </c>
      <c r="D314" s="5" t="s">
        <v>129</v>
      </c>
      <c r="E314" s="5">
        <v>15764</v>
      </c>
      <c r="F314" s="10" t="s">
        <v>128</v>
      </c>
    </row>
    <row r="315" spans="1:6" x14ac:dyDescent="0.2">
      <c r="A315" t="s">
        <v>3</v>
      </c>
      <c r="B315" s="4" t="s">
        <v>0</v>
      </c>
      <c r="C315" s="5" t="s">
        <v>1</v>
      </c>
      <c r="D315" s="5" t="s">
        <v>130</v>
      </c>
      <c r="E315" s="5">
        <v>15931</v>
      </c>
      <c r="F315" s="10" t="s">
        <v>128</v>
      </c>
    </row>
    <row r="316" spans="1:6" x14ac:dyDescent="0.2">
      <c r="A316" t="s">
        <v>3</v>
      </c>
      <c r="B316" s="4" t="s">
        <v>0</v>
      </c>
      <c r="C316" s="5" t="s">
        <v>1</v>
      </c>
      <c r="D316" s="5" t="s">
        <v>131</v>
      </c>
      <c r="E316" s="5">
        <v>16047</v>
      </c>
      <c r="F316" s="10" t="s">
        <v>128</v>
      </c>
    </row>
    <row r="317" spans="1:6" x14ac:dyDescent="0.2">
      <c r="A317" t="s">
        <v>3</v>
      </c>
      <c r="B317" s="4" t="s">
        <v>0</v>
      </c>
      <c r="C317" s="5" t="s">
        <v>1</v>
      </c>
      <c r="D317" s="5" t="s">
        <v>123</v>
      </c>
      <c r="E317" s="5">
        <v>28538</v>
      </c>
      <c r="F317" s="10" t="s">
        <v>124</v>
      </c>
    </row>
    <row r="318" spans="1:6" x14ac:dyDescent="0.2">
      <c r="A318" t="s">
        <v>3</v>
      </c>
      <c r="B318" s="4" t="s">
        <v>0</v>
      </c>
      <c r="C318" s="5" t="s">
        <v>1</v>
      </c>
      <c r="D318" s="5" t="s">
        <v>125</v>
      </c>
      <c r="E318" s="5">
        <v>7636</v>
      </c>
      <c r="F318" s="10" t="s">
        <v>124</v>
      </c>
    </row>
    <row r="319" spans="1:6" x14ac:dyDescent="0.2">
      <c r="A319" t="s">
        <v>3</v>
      </c>
      <c r="B319" s="4" t="s">
        <v>0</v>
      </c>
      <c r="C319" s="5" t="s">
        <v>1</v>
      </c>
      <c r="D319" s="5" t="s">
        <v>126</v>
      </c>
      <c r="E319" s="5">
        <v>7713</v>
      </c>
      <c r="F319" s="10" t="s">
        <v>124</v>
      </c>
    </row>
    <row r="320" spans="1:6" x14ac:dyDescent="0.2">
      <c r="A320" t="s">
        <v>3</v>
      </c>
      <c r="B320" s="4" t="s">
        <v>0</v>
      </c>
      <c r="C320" s="5" t="s">
        <v>1</v>
      </c>
      <c r="D320" s="5" t="s">
        <v>118</v>
      </c>
      <c r="E320" s="5">
        <v>7489</v>
      </c>
      <c r="F320" s="10" t="s">
        <v>119</v>
      </c>
    </row>
    <row r="321" spans="1:6" x14ac:dyDescent="0.2">
      <c r="A321" t="s">
        <v>3</v>
      </c>
      <c r="B321" s="4" t="s">
        <v>0</v>
      </c>
      <c r="C321" s="5" t="s">
        <v>1</v>
      </c>
      <c r="D321" s="5" t="s">
        <v>120</v>
      </c>
      <c r="E321" s="5">
        <v>7551</v>
      </c>
      <c r="F321" s="10" t="s">
        <v>119</v>
      </c>
    </row>
    <row r="322" spans="1:6" x14ac:dyDescent="0.2">
      <c r="A322" t="s">
        <v>3</v>
      </c>
      <c r="B322" s="4" t="s">
        <v>0</v>
      </c>
      <c r="C322" s="5" t="s">
        <v>1</v>
      </c>
      <c r="D322" s="5" t="s">
        <v>121</v>
      </c>
      <c r="E322" s="5">
        <v>14411</v>
      </c>
      <c r="F322" s="10" t="s">
        <v>119</v>
      </c>
    </row>
    <row r="323" spans="1:6" x14ac:dyDescent="0.2">
      <c r="A323" t="s">
        <v>3</v>
      </c>
      <c r="B323" s="4" t="s">
        <v>0</v>
      </c>
      <c r="C323" s="5" t="s">
        <v>1</v>
      </c>
      <c r="D323" s="5" t="s">
        <v>122</v>
      </c>
      <c r="E323" s="5">
        <v>14158</v>
      </c>
      <c r="F323" s="10" t="s">
        <v>119</v>
      </c>
    </row>
    <row r="324" spans="1:6" x14ac:dyDescent="0.2">
      <c r="A324" t="s">
        <v>3</v>
      </c>
      <c r="B324" s="4" t="s">
        <v>0</v>
      </c>
      <c r="C324" s="5" t="s">
        <v>1</v>
      </c>
      <c r="D324" s="5" t="s">
        <v>114</v>
      </c>
      <c r="E324" s="5">
        <v>60391</v>
      </c>
      <c r="F324" s="10" t="s">
        <v>115</v>
      </c>
    </row>
    <row r="325" spans="1:6" x14ac:dyDescent="0.2">
      <c r="A325" t="s">
        <v>3</v>
      </c>
      <c r="B325" s="4" t="s">
        <v>0</v>
      </c>
      <c r="C325" s="5" t="s">
        <v>1</v>
      </c>
      <c r="D325" s="5" t="s">
        <v>116</v>
      </c>
      <c r="E325" s="5">
        <v>60391</v>
      </c>
      <c r="F325" s="10" t="s">
        <v>115</v>
      </c>
    </row>
    <row r="326" spans="1:6" x14ac:dyDescent="0.2">
      <c r="A326" t="s">
        <v>3</v>
      </c>
      <c r="B326" s="4" t="s">
        <v>0</v>
      </c>
      <c r="C326" s="5" t="s">
        <v>1</v>
      </c>
      <c r="D326" s="5" t="s">
        <v>117</v>
      </c>
      <c r="E326" s="5">
        <v>7236</v>
      </c>
      <c r="F326" s="10" t="s">
        <v>115</v>
      </c>
    </row>
    <row r="327" spans="1:6" x14ac:dyDescent="0.2">
      <c r="A327" t="s">
        <v>3</v>
      </c>
      <c r="B327" s="4" t="s">
        <v>0</v>
      </c>
      <c r="C327" s="5" t="s">
        <v>1</v>
      </c>
      <c r="D327" s="5" t="s">
        <v>108</v>
      </c>
      <c r="E327" s="5">
        <v>149082</v>
      </c>
      <c r="F327" s="10" t="s">
        <v>109</v>
      </c>
    </row>
    <row r="328" spans="1:6" x14ac:dyDescent="0.2">
      <c r="A328" t="s">
        <v>3</v>
      </c>
      <c r="B328" s="4" t="s">
        <v>0</v>
      </c>
      <c r="C328" s="5" t="s">
        <v>1</v>
      </c>
      <c r="D328" s="5" t="s">
        <v>110</v>
      </c>
      <c r="E328" s="5">
        <v>6502</v>
      </c>
      <c r="F328" s="10" t="s">
        <v>109</v>
      </c>
    </row>
    <row r="329" spans="1:6" x14ac:dyDescent="0.2">
      <c r="A329" t="s">
        <v>3</v>
      </c>
      <c r="B329" s="4" t="s">
        <v>0</v>
      </c>
      <c r="C329" s="5" t="s">
        <v>1</v>
      </c>
      <c r="D329" s="5" t="s">
        <v>111</v>
      </c>
      <c r="E329" s="5">
        <v>6649</v>
      </c>
      <c r="F329" s="10" t="s">
        <v>109</v>
      </c>
    </row>
    <row r="330" spans="1:6" x14ac:dyDescent="0.2">
      <c r="A330" t="s">
        <v>3</v>
      </c>
      <c r="B330" s="4" t="s">
        <v>0</v>
      </c>
      <c r="C330" s="5" t="s">
        <v>1</v>
      </c>
      <c r="D330" s="5" t="s">
        <v>112</v>
      </c>
      <c r="E330" s="5">
        <v>6713</v>
      </c>
      <c r="F330" s="10" t="s">
        <v>109</v>
      </c>
    </row>
    <row r="331" spans="1:6" x14ac:dyDescent="0.2">
      <c r="A331" t="s">
        <v>3</v>
      </c>
      <c r="B331" s="4" t="s">
        <v>0</v>
      </c>
      <c r="C331" s="5" t="s">
        <v>1</v>
      </c>
      <c r="D331" s="5" t="s">
        <v>113</v>
      </c>
      <c r="E331" s="5">
        <v>47453</v>
      </c>
      <c r="F331" s="10" t="s">
        <v>109</v>
      </c>
    </row>
    <row r="332" spans="1:6" x14ac:dyDescent="0.2">
      <c r="A332" t="s">
        <v>3</v>
      </c>
      <c r="B332" s="4" t="s">
        <v>0</v>
      </c>
      <c r="C332" s="5" t="s">
        <v>1</v>
      </c>
      <c r="D332" s="5" t="s">
        <v>101</v>
      </c>
      <c r="E332" s="5">
        <v>27164</v>
      </c>
      <c r="F332" s="10" t="s">
        <v>102</v>
      </c>
    </row>
    <row r="333" spans="1:6" x14ac:dyDescent="0.2">
      <c r="A333" t="s">
        <v>3</v>
      </c>
      <c r="B333" s="4" t="s">
        <v>0</v>
      </c>
      <c r="C333" s="5" t="s">
        <v>1</v>
      </c>
      <c r="D333" s="5" t="s">
        <v>103</v>
      </c>
      <c r="E333" s="5">
        <v>24302</v>
      </c>
      <c r="F333" s="10" t="s">
        <v>102</v>
      </c>
    </row>
    <row r="334" spans="1:6" x14ac:dyDescent="0.2">
      <c r="A334" t="s">
        <v>3</v>
      </c>
      <c r="B334" s="4" t="s">
        <v>0</v>
      </c>
      <c r="C334" s="5" t="s">
        <v>1</v>
      </c>
      <c r="D334" s="5" t="s">
        <v>104</v>
      </c>
      <c r="E334" s="5">
        <v>37755</v>
      </c>
      <c r="F334" s="10" t="s">
        <v>102</v>
      </c>
    </row>
    <row r="335" spans="1:6" x14ac:dyDescent="0.2">
      <c r="A335" t="s">
        <v>3</v>
      </c>
      <c r="B335" s="4" t="s">
        <v>0</v>
      </c>
      <c r="C335" s="5" t="s">
        <v>1</v>
      </c>
      <c r="D335" s="5" t="s">
        <v>105</v>
      </c>
      <c r="E335" s="5">
        <v>43525</v>
      </c>
      <c r="F335" s="10" t="s">
        <v>102</v>
      </c>
    </row>
    <row r="336" spans="1:6" x14ac:dyDescent="0.2">
      <c r="A336" t="s">
        <v>3</v>
      </c>
      <c r="B336" s="4" t="s">
        <v>0</v>
      </c>
      <c r="C336" s="5" t="s">
        <v>1</v>
      </c>
      <c r="D336" s="5" t="s">
        <v>106</v>
      </c>
      <c r="E336" s="5">
        <v>45680</v>
      </c>
      <c r="F336" s="10" t="s">
        <v>102</v>
      </c>
    </row>
    <row r="337" spans="1:6" x14ac:dyDescent="0.2">
      <c r="A337" t="s">
        <v>3</v>
      </c>
      <c r="B337" s="4" t="s">
        <v>0</v>
      </c>
      <c r="C337" s="5" t="s">
        <v>1</v>
      </c>
      <c r="D337" s="5" t="s">
        <v>107</v>
      </c>
      <c r="E337" s="5">
        <v>121785</v>
      </c>
      <c r="F337" s="10" t="s">
        <v>102</v>
      </c>
    </row>
    <row r="338" spans="1:6" x14ac:dyDescent="0.2">
      <c r="A338" t="s">
        <v>3</v>
      </c>
      <c r="B338" s="4" t="s">
        <v>0</v>
      </c>
      <c r="C338" s="5" t="s">
        <v>1</v>
      </c>
      <c r="D338" s="5" t="s">
        <v>96</v>
      </c>
      <c r="E338" s="5">
        <v>9020</v>
      </c>
      <c r="F338" s="10" t="s">
        <v>97</v>
      </c>
    </row>
    <row r="339" spans="1:6" x14ac:dyDescent="0.2">
      <c r="A339" t="s">
        <v>3</v>
      </c>
      <c r="B339" s="4" t="s">
        <v>0</v>
      </c>
      <c r="C339" s="5" t="s">
        <v>1</v>
      </c>
      <c r="D339" s="5" t="s">
        <v>98</v>
      </c>
      <c r="E339" s="5">
        <v>48455</v>
      </c>
      <c r="F339" s="10" t="s">
        <v>97</v>
      </c>
    </row>
    <row r="340" spans="1:6" x14ac:dyDescent="0.2">
      <c r="A340" t="s">
        <v>3</v>
      </c>
      <c r="B340" s="4" t="s">
        <v>0</v>
      </c>
      <c r="C340" s="5" t="s">
        <v>1</v>
      </c>
      <c r="D340" s="5" t="s">
        <v>99</v>
      </c>
      <c r="E340" s="5">
        <v>53909</v>
      </c>
      <c r="F340" s="10" t="s">
        <v>97</v>
      </c>
    </row>
    <row r="341" spans="1:6" x14ac:dyDescent="0.2">
      <c r="A341" t="s">
        <v>3</v>
      </c>
      <c r="B341" s="4" t="s">
        <v>0</v>
      </c>
      <c r="C341" s="5" t="s">
        <v>1</v>
      </c>
      <c r="D341" s="5" t="s">
        <v>100</v>
      </c>
      <c r="E341" s="5">
        <v>104022</v>
      </c>
      <c r="F341" s="10" t="s">
        <v>97</v>
      </c>
    </row>
    <row r="342" spans="1:6" x14ac:dyDescent="0.2">
      <c r="A342" t="s">
        <v>3</v>
      </c>
      <c r="B342" s="4" t="s">
        <v>0</v>
      </c>
      <c r="C342" s="5" t="s">
        <v>1</v>
      </c>
      <c r="D342" s="5" t="s">
        <v>92</v>
      </c>
      <c r="E342" s="5">
        <v>7531</v>
      </c>
      <c r="F342" s="10" t="s">
        <v>93</v>
      </c>
    </row>
    <row r="343" spans="1:6" x14ac:dyDescent="0.2">
      <c r="A343" t="s">
        <v>3</v>
      </c>
      <c r="B343" s="4" t="s">
        <v>0</v>
      </c>
      <c r="C343" s="5" t="s">
        <v>1</v>
      </c>
      <c r="D343" s="5" t="s">
        <v>94</v>
      </c>
      <c r="E343" s="5">
        <v>7340</v>
      </c>
      <c r="F343" s="10" t="s">
        <v>93</v>
      </c>
    </row>
    <row r="344" spans="1:6" x14ac:dyDescent="0.2">
      <c r="A344" t="s">
        <v>3</v>
      </c>
      <c r="B344" s="4" t="s">
        <v>0</v>
      </c>
      <c r="C344" s="5" t="s">
        <v>1</v>
      </c>
      <c r="D344" s="5" t="s">
        <v>95</v>
      </c>
      <c r="E344" s="5">
        <v>8285</v>
      </c>
      <c r="F344" s="10" t="s">
        <v>93</v>
      </c>
    </row>
    <row r="345" spans="1:6" x14ac:dyDescent="0.2">
      <c r="A345" t="s">
        <v>3</v>
      </c>
      <c r="B345" s="4" t="s">
        <v>0</v>
      </c>
      <c r="C345" s="5" t="s">
        <v>1</v>
      </c>
      <c r="D345" s="5" t="s">
        <v>88</v>
      </c>
      <c r="E345" s="5">
        <v>33142</v>
      </c>
      <c r="F345" s="10" t="s">
        <v>89</v>
      </c>
    </row>
    <row r="346" spans="1:6" x14ac:dyDescent="0.2">
      <c r="A346" t="s">
        <v>3</v>
      </c>
      <c r="B346" s="4" t="s">
        <v>0</v>
      </c>
      <c r="C346" s="5" t="s">
        <v>1</v>
      </c>
      <c r="D346" s="5" t="s">
        <v>90</v>
      </c>
      <c r="E346" s="5">
        <v>5911</v>
      </c>
      <c r="F346" s="10" t="s">
        <v>89</v>
      </c>
    </row>
    <row r="347" spans="1:6" x14ac:dyDescent="0.2">
      <c r="A347" t="s">
        <v>3</v>
      </c>
      <c r="B347" s="4" t="s">
        <v>0</v>
      </c>
      <c r="C347" s="5" t="s">
        <v>1</v>
      </c>
      <c r="D347" s="5" t="s">
        <v>91</v>
      </c>
      <c r="E347" s="5">
        <v>8160</v>
      </c>
      <c r="F347" s="10" t="s">
        <v>89</v>
      </c>
    </row>
    <row r="348" spans="1:6" x14ac:dyDescent="0.2">
      <c r="A348" t="s">
        <v>3</v>
      </c>
      <c r="B348" s="4" t="s">
        <v>0</v>
      </c>
      <c r="C348" s="5" t="s">
        <v>1</v>
      </c>
      <c r="D348" s="5" t="s">
        <v>84</v>
      </c>
      <c r="E348" s="5">
        <v>36709</v>
      </c>
      <c r="F348" s="10" t="s">
        <v>85</v>
      </c>
    </row>
    <row r="349" spans="1:6" x14ac:dyDescent="0.2">
      <c r="A349" t="s">
        <v>3</v>
      </c>
      <c r="B349" s="4" t="s">
        <v>0</v>
      </c>
      <c r="C349" s="5" t="s">
        <v>1</v>
      </c>
      <c r="D349" s="5" t="s">
        <v>86</v>
      </c>
      <c r="E349" s="5">
        <v>23178</v>
      </c>
      <c r="F349" s="10" t="s">
        <v>85</v>
      </c>
    </row>
    <row r="350" spans="1:6" x14ac:dyDescent="0.2">
      <c r="A350" t="s">
        <v>3</v>
      </c>
      <c r="B350" s="4" t="s">
        <v>0</v>
      </c>
      <c r="C350" s="5" t="s">
        <v>1</v>
      </c>
      <c r="D350" s="5" t="s">
        <v>87</v>
      </c>
      <c r="E350" s="5">
        <v>24124</v>
      </c>
      <c r="F350" s="10" t="s">
        <v>85</v>
      </c>
    </row>
    <row r="351" spans="1:6" x14ac:dyDescent="0.2">
      <c r="A351" t="s">
        <v>3</v>
      </c>
      <c r="B351" s="4" t="s">
        <v>0</v>
      </c>
      <c r="C351" s="5" t="s">
        <v>1</v>
      </c>
      <c r="D351" s="5" t="s">
        <v>79</v>
      </c>
      <c r="E351" s="5">
        <v>23640</v>
      </c>
      <c r="F351" s="10" t="s">
        <v>80</v>
      </c>
    </row>
    <row r="352" spans="1:6" x14ac:dyDescent="0.2">
      <c r="A352" t="s">
        <v>3</v>
      </c>
      <c r="B352" s="4" t="s">
        <v>0</v>
      </c>
      <c r="C352" s="5" t="s">
        <v>1</v>
      </c>
      <c r="D352" s="5" t="s">
        <v>81</v>
      </c>
      <c r="E352" s="5">
        <v>27395</v>
      </c>
      <c r="F352" s="10" t="s">
        <v>80</v>
      </c>
    </row>
    <row r="353" spans="1:6" x14ac:dyDescent="0.2">
      <c r="A353" t="s">
        <v>3</v>
      </c>
      <c r="B353" s="4" t="s">
        <v>0</v>
      </c>
      <c r="C353" s="5" t="s">
        <v>1</v>
      </c>
      <c r="D353" s="5" t="s">
        <v>82</v>
      </c>
      <c r="E353" s="5">
        <v>29156</v>
      </c>
      <c r="F353" s="10" t="s">
        <v>80</v>
      </c>
    </row>
    <row r="354" spans="1:6" x14ac:dyDescent="0.2">
      <c r="A354" t="s">
        <v>3</v>
      </c>
      <c r="B354" s="4" t="s">
        <v>0</v>
      </c>
      <c r="C354" s="5" t="s">
        <v>1</v>
      </c>
      <c r="D354" s="5" t="s">
        <v>83</v>
      </c>
      <c r="E354" s="5">
        <v>34611</v>
      </c>
      <c r="F354" s="10" t="s">
        <v>80</v>
      </c>
    </row>
    <row r="355" spans="1:6" x14ac:dyDescent="0.2">
      <c r="A355" t="s">
        <v>3</v>
      </c>
      <c r="B355" s="4" t="s">
        <v>0</v>
      </c>
      <c r="C355" s="5" t="s">
        <v>1</v>
      </c>
      <c r="D355" s="5" t="s">
        <v>75</v>
      </c>
      <c r="E355" s="5">
        <v>65091</v>
      </c>
      <c r="F355" s="10" t="s">
        <v>76</v>
      </c>
    </row>
    <row r="356" spans="1:6" x14ac:dyDescent="0.2">
      <c r="A356" t="s">
        <v>3</v>
      </c>
      <c r="B356" s="4" t="s">
        <v>0</v>
      </c>
      <c r="C356" s="5" t="s">
        <v>1</v>
      </c>
      <c r="D356" s="5" t="s">
        <v>77</v>
      </c>
      <c r="E356" s="5">
        <v>78136</v>
      </c>
      <c r="F356" s="10" t="s">
        <v>76</v>
      </c>
    </row>
    <row r="357" spans="1:6" x14ac:dyDescent="0.2">
      <c r="A357" t="s">
        <v>3</v>
      </c>
      <c r="B357" s="4" t="s">
        <v>0</v>
      </c>
      <c r="C357" s="5" t="s">
        <v>1</v>
      </c>
      <c r="D357" s="5" t="s">
        <v>78</v>
      </c>
      <c r="E357" s="5">
        <v>90618</v>
      </c>
      <c r="F357" s="10" t="s">
        <v>76</v>
      </c>
    </row>
    <row r="358" spans="1:6" x14ac:dyDescent="0.2">
      <c r="A358" t="s">
        <v>3</v>
      </c>
      <c r="B358" s="4" t="s">
        <v>0</v>
      </c>
      <c r="C358" s="5" t="s">
        <v>1</v>
      </c>
      <c r="D358" s="5" t="s">
        <v>71</v>
      </c>
      <c r="E358" s="5">
        <v>34118</v>
      </c>
      <c r="F358" s="10" t="s">
        <v>72</v>
      </c>
    </row>
    <row r="359" spans="1:6" x14ac:dyDescent="0.2">
      <c r="A359" t="s">
        <v>3</v>
      </c>
      <c r="B359" s="4" t="s">
        <v>0</v>
      </c>
      <c r="C359" s="5" t="s">
        <v>1</v>
      </c>
      <c r="D359" s="5" t="s">
        <v>73</v>
      </c>
      <c r="E359" s="5">
        <v>40380</v>
      </c>
      <c r="F359" s="10" t="s">
        <v>72</v>
      </c>
    </row>
    <row r="360" spans="1:6" x14ac:dyDescent="0.2">
      <c r="A360" t="s">
        <v>3</v>
      </c>
      <c r="B360" s="4" t="s">
        <v>0</v>
      </c>
      <c r="C360" s="5" t="s">
        <v>1</v>
      </c>
      <c r="D360" s="5" t="s">
        <v>74</v>
      </c>
      <c r="E360" s="5">
        <v>47396</v>
      </c>
      <c r="F360" s="10" t="s">
        <v>72</v>
      </c>
    </row>
    <row r="361" spans="1:6" x14ac:dyDescent="0.2">
      <c r="A361" t="s">
        <v>3</v>
      </c>
      <c r="B361" s="4" t="s">
        <v>0</v>
      </c>
      <c r="C361" s="5" t="s">
        <v>1</v>
      </c>
      <c r="D361" s="5" t="s">
        <v>66</v>
      </c>
      <c r="E361" s="5">
        <v>30205</v>
      </c>
      <c r="F361" s="10" t="s">
        <v>67</v>
      </c>
    </row>
    <row r="362" spans="1:6" x14ac:dyDescent="0.2">
      <c r="A362" t="s">
        <v>3</v>
      </c>
      <c r="B362" s="4" t="s">
        <v>0</v>
      </c>
      <c r="C362" s="5" t="s">
        <v>1</v>
      </c>
      <c r="D362" s="5" t="s">
        <v>68</v>
      </c>
      <c r="E362" s="5">
        <v>32933</v>
      </c>
      <c r="F362" s="10" t="s">
        <v>67</v>
      </c>
    </row>
    <row r="363" spans="1:6" x14ac:dyDescent="0.2">
      <c r="A363" t="s">
        <v>3</v>
      </c>
      <c r="B363" s="4" t="s">
        <v>0</v>
      </c>
      <c r="C363" s="5" t="s">
        <v>1</v>
      </c>
      <c r="D363" s="5" t="s">
        <v>69</v>
      </c>
      <c r="E363" s="5">
        <v>39620</v>
      </c>
      <c r="F363" s="10" t="s">
        <v>67</v>
      </c>
    </row>
    <row r="364" spans="1:6" x14ac:dyDescent="0.2">
      <c r="A364" t="s">
        <v>3</v>
      </c>
      <c r="B364" s="4" t="s">
        <v>0</v>
      </c>
      <c r="C364" s="5" t="s">
        <v>1</v>
      </c>
      <c r="D364" s="5" t="s">
        <v>70</v>
      </c>
      <c r="E364" s="5">
        <v>36949</v>
      </c>
      <c r="F364" s="10" t="s">
        <v>67</v>
      </c>
    </row>
    <row r="365" spans="1:6" x14ac:dyDescent="0.2">
      <c r="A365" t="s">
        <v>3</v>
      </c>
      <c r="B365" s="4" t="s">
        <v>0</v>
      </c>
      <c r="C365" s="5" t="s">
        <v>1</v>
      </c>
      <c r="D365" s="5" t="s">
        <v>61</v>
      </c>
      <c r="E365" s="5">
        <v>29156</v>
      </c>
      <c r="F365" s="10" t="s">
        <v>62</v>
      </c>
    </row>
    <row r="366" spans="1:6" x14ac:dyDescent="0.2">
      <c r="A366" t="s">
        <v>3</v>
      </c>
      <c r="B366" s="4" t="s">
        <v>0</v>
      </c>
      <c r="C366" s="5" t="s">
        <v>1</v>
      </c>
      <c r="D366" s="5" t="s">
        <v>63</v>
      </c>
      <c r="E366" s="5">
        <v>34611</v>
      </c>
      <c r="F366" s="10" t="s">
        <v>62</v>
      </c>
    </row>
    <row r="367" spans="1:6" x14ac:dyDescent="0.2">
      <c r="A367" t="s">
        <v>3</v>
      </c>
      <c r="B367" s="4" t="s">
        <v>0</v>
      </c>
      <c r="C367" s="5" t="s">
        <v>1</v>
      </c>
      <c r="D367" s="5" t="s">
        <v>64</v>
      </c>
      <c r="E367" s="5">
        <v>16736</v>
      </c>
      <c r="F367" s="10" t="s">
        <v>62</v>
      </c>
    </row>
    <row r="368" spans="1:6" x14ac:dyDescent="0.2">
      <c r="A368" t="s">
        <v>3</v>
      </c>
      <c r="B368" s="4" t="s">
        <v>0</v>
      </c>
      <c r="C368" s="5" t="s">
        <v>1</v>
      </c>
      <c r="D368" s="5" t="s">
        <v>65</v>
      </c>
      <c r="E368" s="5">
        <v>17976</v>
      </c>
      <c r="F368" s="10" t="s">
        <v>62</v>
      </c>
    </row>
    <row r="369" spans="1:6" x14ac:dyDescent="0.2">
      <c r="A369" t="s">
        <v>3</v>
      </c>
      <c r="B369" s="4" t="s">
        <v>0</v>
      </c>
      <c r="C369" s="5" t="s">
        <v>1</v>
      </c>
      <c r="D369" s="5" t="s">
        <v>57</v>
      </c>
      <c r="E369" s="5">
        <v>23913</v>
      </c>
      <c r="F369" s="10" t="s">
        <v>58</v>
      </c>
    </row>
    <row r="370" spans="1:6" x14ac:dyDescent="0.2">
      <c r="A370" t="s">
        <v>3</v>
      </c>
      <c r="B370" s="4" t="s">
        <v>0</v>
      </c>
      <c r="C370" s="5" t="s">
        <v>1</v>
      </c>
      <c r="D370" s="5" t="s">
        <v>59</v>
      </c>
      <c r="E370" s="5">
        <v>30625</v>
      </c>
      <c r="F370" s="10" t="s">
        <v>58</v>
      </c>
    </row>
    <row r="371" spans="1:6" x14ac:dyDescent="0.2">
      <c r="A371" t="s">
        <v>3</v>
      </c>
      <c r="B371" s="4" t="s">
        <v>0</v>
      </c>
      <c r="C371" s="5" t="s">
        <v>1</v>
      </c>
      <c r="D371" s="5" t="s">
        <v>60</v>
      </c>
      <c r="E371" s="5">
        <v>24438</v>
      </c>
      <c r="F371" s="10" t="s">
        <v>58</v>
      </c>
    </row>
    <row r="372" spans="1:6" x14ac:dyDescent="0.2">
      <c r="A372" t="s">
        <v>3</v>
      </c>
      <c r="B372" s="4" t="s">
        <v>0</v>
      </c>
      <c r="C372" s="5" t="s">
        <v>1</v>
      </c>
      <c r="D372" s="5" t="s">
        <v>53</v>
      </c>
      <c r="E372" s="5">
        <v>38387</v>
      </c>
      <c r="F372" s="10" t="s">
        <v>54</v>
      </c>
    </row>
    <row r="373" spans="1:6" x14ac:dyDescent="0.2">
      <c r="A373" t="s">
        <v>3</v>
      </c>
      <c r="B373" s="4" t="s">
        <v>0</v>
      </c>
      <c r="C373" s="5" t="s">
        <v>1</v>
      </c>
      <c r="D373" s="5" t="s">
        <v>55</v>
      </c>
      <c r="E373" s="5">
        <v>19718</v>
      </c>
      <c r="F373" s="10" t="s">
        <v>54</v>
      </c>
    </row>
    <row r="374" spans="1:6" x14ac:dyDescent="0.2">
      <c r="A374" t="s">
        <v>3</v>
      </c>
      <c r="B374" s="4" t="s">
        <v>0</v>
      </c>
      <c r="C374" s="5" t="s">
        <v>1</v>
      </c>
      <c r="D374" s="5" t="s">
        <v>56</v>
      </c>
      <c r="E374" s="5">
        <v>20033</v>
      </c>
      <c r="F374" s="10" t="s">
        <v>54</v>
      </c>
    </row>
    <row r="375" spans="1:6" x14ac:dyDescent="0.2">
      <c r="A375" t="s">
        <v>3</v>
      </c>
      <c r="B375" s="4" t="s">
        <v>0</v>
      </c>
      <c r="C375" s="5" t="s">
        <v>1</v>
      </c>
      <c r="D375" s="5" t="s">
        <v>48</v>
      </c>
      <c r="E375" s="5">
        <v>24898</v>
      </c>
      <c r="F375" s="10" t="s">
        <v>49</v>
      </c>
    </row>
    <row r="376" spans="1:6" x14ac:dyDescent="0.2">
      <c r="A376" t="s">
        <v>3</v>
      </c>
      <c r="B376" s="4" t="s">
        <v>0</v>
      </c>
      <c r="C376" s="5" t="s">
        <v>1</v>
      </c>
      <c r="D376" s="5" t="s">
        <v>50</v>
      </c>
      <c r="E376" s="5">
        <v>38135</v>
      </c>
      <c r="F376" s="10" t="s">
        <v>49</v>
      </c>
    </row>
    <row r="377" spans="1:6" x14ac:dyDescent="0.2">
      <c r="A377" t="s">
        <v>3</v>
      </c>
      <c r="B377" s="4" t="s">
        <v>0</v>
      </c>
      <c r="C377" s="5" t="s">
        <v>1</v>
      </c>
      <c r="D377" s="5" t="s">
        <v>51</v>
      </c>
      <c r="E377" s="5">
        <v>30731</v>
      </c>
      <c r="F377" s="10" t="s">
        <v>49</v>
      </c>
    </row>
    <row r="378" spans="1:6" x14ac:dyDescent="0.2">
      <c r="A378" t="s">
        <v>3</v>
      </c>
      <c r="B378" s="4" t="s">
        <v>0</v>
      </c>
      <c r="C378" s="5" t="s">
        <v>1</v>
      </c>
      <c r="D378" s="5" t="s">
        <v>52</v>
      </c>
      <c r="E378" s="5">
        <v>44680</v>
      </c>
      <c r="F378" s="10" t="s">
        <v>49</v>
      </c>
    </row>
    <row r="379" spans="1:6" x14ac:dyDescent="0.2">
      <c r="A379" t="s">
        <v>3</v>
      </c>
      <c r="B379" s="4" t="s">
        <v>0</v>
      </c>
      <c r="C379" s="5" t="s">
        <v>1</v>
      </c>
      <c r="D379" s="5" t="s">
        <v>42</v>
      </c>
      <c r="E379" s="5">
        <v>16047</v>
      </c>
      <c r="F379" s="10" t="s">
        <v>43</v>
      </c>
    </row>
    <row r="380" spans="1:6" x14ac:dyDescent="0.2">
      <c r="A380" t="s">
        <v>3</v>
      </c>
      <c r="B380" s="4" t="s">
        <v>0</v>
      </c>
      <c r="C380" s="5" t="s">
        <v>1</v>
      </c>
      <c r="D380" s="5" t="s">
        <v>44</v>
      </c>
      <c r="E380" s="5">
        <v>21438</v>
      </c>
      <c r="F380" s="10" t="s">
        <v>43</v>
      </c>
    </row>
    <row r="381" spans="1:6" x14ac:dyDescent="0.2">
      <c r="A381" t="s">
        <v>3</v>
      </c>
      <c r="B381" s="4" t="s">
        <v>0</v>
      </c>
      <c r="C381" s="5" t="s">
        <v>1</v>
      </c>
      <c r="D381" s="5" t="s">
        <v>45</v>
      </c>
      <c r="E381" s="5">
        <v>27375</v>
      </c>
      <c r="F381" s="10" t="s">
        <v>43</v>
      </c>
    </row>
    <row r="382" spans="1:6" x14ac:dyDescent="0.2">
      <c r="A382" t="s">
        <v>3</v>
      </c>
      <c r="B382" s="4" t="s">
        <v>0</v>
      </c>
      <c r="C382" s="5" t="s">
        <v>1</v>
      </c>
      <c r="D382" s="5" t="s">
        <v>46</v>
      </c>
      <c r="E382" s="5">
        <v>23284</v>
      </c>
      <c r="F382" s="10" t="s">
        <v>43</v>
      </c>
    </row>
    <row r="383" spans="1:6" x14ac:dyDescent="0.2">
      <c r="A383" t="s">
        <v>3</v>
      </c>
      <c r="B383" s="4" t="s">
        <v>0</v>
      </c>
      <c r="C383" s="5" t="s">
        <v>1</v>
      </c>
      <c r="D383" s="5" t="s">
        <v>47</v>
      </c>
      <c r="E383" s="5">
        <v>31193</v>
      </c>
      <c r="F383" s="10" t="s">
        <v>43</v>
      </c>
    </row>
    <row r="384" spans="1:6" x14ac:dyDescent="0.2">
      <c r="A384" t="s">
        <v>3</v>
      </c>
      <c r="B384" s="4" t="s">
        <v>0</v>
      </c>
      <c r="C384" s="5" t="s">
        <v>1</v>
      </c>
      <c r="D384" s="5" t="s">
        <v>38</v>
      </c>
      <c r="E384" s="5">
        <v>41744</v>
      </c>
      <c r="F384" s="10" t="s">
        <v>39</v>
      </c>
    </row>
    <row r="385" spans="1:6" x14ac:dyDescent="0.2">
      <c r="A385" t="s">
        <v>3</v>
      </c>
      <c r="B385" s="4" t="s">
        <v>0</v>
      </c>
      <c r="C385" s="5" t="s">
        <v>1</v>
      </c>
      <c r="D385" s="5" t="s">
        <v>40</v>
      </c>
      <c r="E385" s="5">
        <v>11327</v>
      </c>
      <c r="F385" s="10" t="s">
        <v>39</v>
      </c>
    </row>
    <row r="386" spans="1:6" x14ac:dyDescent="0.2">
      <c r="A386" t="s">
        <v>3</v>
      </c>
      <c r="B386" s="4" t="s">
        <v>0</v>
      </c>
      <c r="C386" s="5" t="s">
        <v>1</v>
      </c>
      <c r="D386" s="5" t="s">
        <v>41</v>
      </c>
      <c r="E386" s="5">
        <v>14305</v>
      </c>
      <c r="F386" s="10" t="s">
        <v>39</v>
      </c>
    </row>
    <row r="387" spans="1:6" x14ac:dyDescent="0.2">
      <c r="A387" t="s">
        <v>3</v>
      </c>
      <c r="B387" s="4" t="s">
        <v>0</v>
      </c>
      <c r="C387" s="5" t="s">
        <v>1</v>
      </c>
      <c r="D387" s="5" t="s">
        <v>33</v>
      </c>
      <c r="E387" s="5">
        <v>40065</v>
      </c>
      <c r="F387" s="10" t="s">
        <v>34</v>
      </c>
    </row>
    <row r="388" spans="1:6" x14ac:dyDescent="0.2">
      <c r="A388" t="s">
        <v>3</v>
      </c>
      <c r="B388" s="4" t="s">
        <v>0</v>
      </c>
      <c r="C388" s="5" t="s">
        <v>1</v>
      </c>
      <c r="D388" s="5" t="s">
        <v>35</v>
      </c>
      <c r="E388" s="5">
        <v>96491</v>
      </c>
      <c r="F388" s="10" t="s">
        <v>34</v>
      </c>
    </row>
    <row r="389" spans="1:6" x14ac:dyDescent="0.2">
      <c r="A389" t="s">
        <v>3</v>
      </c>
      <c r="B389" s="4" t="s">
        <v>0</v>
      </c>
      <c r="C389" s="5" t="s">
        <v>1</v>
      </c>
      <c r="D389" s="5" t="s">
        <v>36</v>
      </c>
      <c r="E389" s="5">
        <v>43211</v>
      </c>
      <c r="F389" s="10" t="s">
        <v>34</v>
      </c>
    </row>
    <row r="390" spans="1:6" x14ac:dyDescent="0.2">
      <c r="A390" t="s">
        <v>3</v>
      </c>
      <c r="B390" s="4" t="s">
        <v>0</v>
      </c>
      <c r="C390" s="5" t="s">
        <v>1</v>
      </c>
      <c r="D390" s="5" t="s">
        <v>37</v>
      </c>
      <c r="E390" s="5">
        <v>31675</v>
      </c>
      <c r="F390" s="10" t="s">
        <v>34</v>
      </c>
    </row>
    <row r="391" spans="1:6" x14ac:dyDescent="0.2">
      <c r="A391" t="s">
        <v>3</v>
      </c>
      <c r="B391" s="4" t="s">
        <v>0</v>
      </c>
      <c r="C391" s="5" t="s">
        <v>1</v>
      </c>
      <c r="D391" s="5" t="s">
        <v>27</v>
      </c>
      <c r="E391" s="5">
        <v>24493</v>
      </c>
      <c r="F391" s="10" t="s">
        <v>28</v>
      </c>
    </row>
    <row r="392" spans="1:6" x14ac:dyDescent="0.2">
      <c r="A392" t="s">
        <v>3</v>
      </c>
      <c r="B392" s="4" t="s">
        <v>0</v>
      </c>
      <c r="C392" s="5" t="s">
        <v>1</v>
      </c>
      <c r="D392" s="5" t="s">
        <v>29</v>
      </c>
      <c r="E392" s="5">
        <v>20976</v>
      </c>
      <c r="F392" s="10" t="s">
        <v>28</v>
      </c>
    </row>
    <row r="393" spans="1:6" x14ac:dyDescent="0.2">
      <c r="A393" t="s">
        <v>3</v>
      </c>
      <c r="B393" s="4" t="s">
        <v>0</v>
      </c>
      <c r="C393" s="5" t="s">
        <v>1</v>
      </c>
      <c r="D393" s="5" t="s">
        <v>30</v>
      </c>
      <c r="E393" s="5">
        <v>27060</v>
      </c>
      <c r="F393" s="10" t="s">
        <v>28</v>
      </c>
    </row>
    <row r="394" spans="1:6" x14ac:dyDescent="0.2">
      <c r="A394" t="s">
        <v>3</v>
      </c>
      <c r="B394" s="4" t="s">
        <v>0</v>
      </c>
      <c r="C394" s="5" t="s">
        <v>1</v>
      </c>
      <c r="D394" s="5" t="s">
        <v>31</v>
      </c>
      <c r="E394" s="5">
        <v>28318</v>
      </c>
      <c r="F394" s="10" t="s">
        <v>28</v>
      </c>
    </row>
    <row r="395" spans="1:6" x14ac:dyDescent="0.2">
      <c r="A395" t="s">
        <v>3</v>
      </c>
      <c r="B395" s="4" t="s">
        <v>0</v>
      </c>
      <c r="C395" s="5" t="s">
        <v>1</v>
      </c>
      <c r="D395" s="5" t="s">
        <v>32</v>
      </c>
      <c r="E395" s="5">
        <v>30416</v>
      </c>
      <c r="F395" s="10" t="s">
        <v>28</v>
      </c>
    </row>
    <row r="396" spans="1:6" x14ac:dyDescent="0.2">
      <c r="A396" t="s">
        <v>3</v>
      </c>
      <c r="B396" s="4" t="s">
        <v>0</v>
      </c>
      <c r="C396" s="5" t="s">
        <v>1</v>
      </c>
      <c r="D396" s="5" t="s">
        <v>25</v>
      </c>
      <c r="E396" s="5">
        <v>26640</v>
      </c>
      <c r="F396" s="10" t="s">
        <v>26</v>
      </c>
    </row>
    <row r="397" spans="1:6" x14ac:dyDescent="0.2">
      <c r="A397" t="s">
        <v>3</v>
      </c>
      <c r="B397" s="4" t="s">
        <v>0</v>
      </c>
      <c r="C397" s="5" t="s">
        <v>1</v>
      </c>
      <c r="D397" s="5" t="s">
        <v>21</v>
      </c>
      <c r="E397" s="5">
        <v>21815</v>
      </c>
      <c r="F397" s="10" t="s">
        <v>22</v>
      </c>
    </row>
    <row r="398" spans="1:6" x14ac:dyDescent="0.2">
      <c r="A398" t="s">
        <v>3</v>
      </c>
      <c r="B398" s="4" t="s">
        <v>0</v>
      </c>
      <c r="C398" s="5" t="s">
        <v>1</v>
      </c>
      <c r="D398" s="5" t="s">
        <v>23</v>
      </c>
      <c r="E398" s="5">
        <v>16885</v>
      </c>
      <c r="F398" s="10" t="s">
        <v>22</v>
      </c>
    </row>
    <row r="399" spans="1:6" x14ac:dyDescent="0.2">
      <c r="A399" t="s">
        <v>3</v>
      </c>
      <c r="B399" s="4" t="s">
        <v>0</v>
      </c>
      <c r="C399" s="5" t="s">
        <v>1</v>
      </c>
      <c r="D399" s="5" t="s">
        <v>24</v>
      </c>
      <c r="E399" s="5">
        <v>23075</v>
      </c>
      <c r="F399" s="10" t="s">
        <v>22</v>
      </c>
    </row>
    <row r="400" spans="1:6" x14ac:dyDescent="0.2">
      <c r="A400" t="s">
        <v>3</v>
      </c>
      <c r="B400" s="4" t="s">
        <v>0</v>
      </c>
      <c r="C400" s="5" t="s">
        <v>1</v>
      </c>
      <c r="D400" s="5" t="s">
        <v>17</v>
      </c>
      <c r="E400" s="5">
        <v>13635</v>
      </c>
      <c r="F400" s="10" t="s">
        <v>18</v>
      </c>
    </row>
    <row r="401" spans="1:6" x14ac:dyDescent="0.2">
      <c r="A401" t="s">
        <v>3</v>
      </c>
      <c r="B401" s="4" t="s">
        <v>0</v>
      </c>
      <c r="C401" s="5" t="s">
        <v>1</v>
      </c>
      <c r="D401" s="5" t="s">
        <v>19</v>
      </c>
      <c r="E401" s="5">
        <v>16613</v>
      </c>
      <c r="F401" s="10" t="s">
        <v>18</v>
      </c>
    </row>
    <row r="402" spans="1:6" x14ac:dyDescent="0.2">
      <c r="A402" t="s">
        <v>3</v>
      </c>
      <c r="B402" s="4" t="s">
        <v>0</v>
      </c>
      <c r="C402" s="5" t="s">
        <v>1</v>
      </c>
      <c r="D402" s="5" t="s">
        <v>20</v>
      </c>
      <c r="E402" s="5">
        <v>19865</v>
      </c>
      <c r="F402" s="10" t="s">
        <v>18</v>
      </c>
    </row>
    <row r="403" spans="1:6" x14ac:dyDescent="0.2">
      <c r="A403" t="s">
        <v>3</v>
      </c>
      <c r="B403" s="4" t="s">
        <v>0</v>
      </c>
      <c r="C403" s="5" t="s">
        <v>1</v>
      </c>
      <c r="D403" s="5" t="s">
        <v>12</v>
      </c>
      <c r="E403" s="5">
        <v>11653</v>
      </c>
      <c r="F403" s="10" t="s">
        <v>13</v>
      </c>
    </row>
    <row r="404" spans="1:6" x14ac:dyDescent="0.2">
      <c r="A404" t="s">
        <v>3</v>
      </c>
      <c r="B404" s="4" t="s">
        <v>0</v>
      </c>
      <c r="C404" s="5" t="s">
        <v>1</v>
      </c>
      <c r="D404" s="5" t="s">
        <v>14</v>
      </c>
      <c r="E404" s="5">
        <v>16613</v>
      </c>
      <c r="F404" s="10" t="s">
        <v>13</v>
      </c>
    </row>
    <row r="405" spans="1:6" x14ac:dyDescent="0.2">
      <c r="A405" t="s">
        <v>3</v>
      </c>
      <c r="B405" s="4" t="s">
        <v>0</v>
      </c>
      <c r="C405" s="5" t="s">
        <v>1</v>
      </c>
      <c r="D405" s="5" t="s">
        <v>15</v>
      </c>
      <c r="E405" s="5">
        <v>19927</v>
      </c>
      <c r="F405" s="10" t="s">
        <v>13</v>
      </c>
    </row>
    <row r="406" spans="1:6" x14ac:dyDescent="0.2">
      <c r="A406" t="s">
        <v>3</v>
      </c>
      <c r="B406" s="4" t="s">
        <v>0</v>
      </c>
      <c r="C406" s="5" t="s">
        <v>1</v>
      </c>
      <c r="D406" s="5" t="s">
        <v>16</v>
      </c>
      <c r="E406" s="5">
        <v>13891</v>
      </c>
      <c r="F406" s="10" t="s">
        <v>13</v>
      </c>
    </row>
    <row r="407" spans="1:6" x14ac:dyDescent="0.2">
      <c r="A407" t="s">
        <v>3</v>
      </c>
      <c r="B407" s="4" t="s">
        <v>0</v>
      </c>
      <c r="C407" s="5" t="s">
        <v>1</v>
      </c>
      <c r="D407" s="5" t="s">
        <v>7</v>
      </c>
      <c r="E407" s="5">
        <v>12584</v>
      </c>
      <c r="F407" s="10" t="s">
        <v>8</v>
      </c>
    </row>
    <row r="408" spans="1:6" x14ac:dyDescent="0.2">
      <c r="A408" t="s">
        <v>3</v>
      </c>
      <c r="B408" s="4" t="s">
        <v>0</v>
      </c>
      <c r="C408" s="5" t="s">
        <v>1</v>
      </c>
      <c r="D408" s="5" t="s">
        <v>9</v>
      </c>
      <c r="E408" s="5">
        <v>50133</v>
      </c>
      <c r="F408" s="10" t="s">
        <v>8</v>
      </c>
    </row>
    <row r="409" spans="1:6" x14ac:dyDescent="0.2">
      <c r="A409" t="s">
        <v>3</v>
      </c>
      <c r="B409" s="4" t="s">
        <v>0</v>
      </c>
      <c r="C409" s="5" t="s">
        <v>1</v>
      </c>
      <c r="D409" s="5" t="s">
        <v>10</v>
      </c>
      <c r="E409" s="5">
        <v>45100</v>
      </c>
      <c r="F409" s="10" t="s">
        <v>8</v>
      </c>
    </row>
    <row r="410" spans="1:6" x14ac:dyDescent="0.2">
      <c r="A410" t="s">
        <v>3</v>
      </c>
      <c r="B410" s="4" t="s">
        <v>0</v>
      </c>
      <c r="C410" s="5" t="s">
        <v>1</v>
      </c>
      <c r="D410" s="5" t="s">
        <v>11</v>
      </c>
      <c r="E410" s="5">
        <v>47407</v>
      </c>
      <c r="F410" s="10" t="s">
        <v>8</v>
      </c>
    </row>
    <row r="411" spans="1:6" x14ac:dyDescent="0.2">
      <c r="A411" t="s">
        <v>3</v>
      </c>
      <c r="B411" s="4" t="s">
        <v>0</v>
      </c>
      <c r="C411" s="5" t="s">
        <v>1</v>
      </c>
      <c r="D411" s="5" t="s">
        <v>2</v>
      </c>
      <c r="E411" s="5">
        <v>48245</v>
      </c>
      <c r="F411" s="10" t="s">
        <v>4</v>
      </c>
    </row>
    <row r="412" spans="1:6" x14ac:dyDescent="0.2">
      <c r="A412" t="s">
        <v>3</v>
      </c>
      <c r="B412" s="4" t="s">
        <v>0</v>
      </c>
      <c r="C412" s="5" t="s">
        <v>1</v>
      </c>
      <c r="D412" s="5" t="s">
        <v>5</v>
      </c>
      <c r="E412" s="5">
        <v>7924</v>
      </c>
      <c r="F412" s="10" t="s">
        <v>4</v>
      </c>
    </row>
    <row r="413" spans="1:6" x14ac:dyDescent="0.2">
      <c r="A413" t="s">
        <v>3</v>
      </c>
      <c r="B413" s="4" t="s">
        <v>0</v>
      </c>
      <c r="C413" s="5" t="s">
        <v>1</v>
      </c>
      <c r="D413" s="5" t="s">
        <v>6</v>
      </c>
      <c r="E413" s="5">
        <v>8925</v>
      </c>
      <c r="F413" s="10" t="s">
        <v>4</v>
      </c>
    </row>
    <row r="414" spans="1:6" x14ac:dyDescent="0.2">
      <c r="A414" t="s">
        <v>155</v>
      </c>
      <c r="B414" s="4" t="s">
        <v>152</v>
      </c>
      <c r="C414" s="5" t="s">
        <v>153</v>
      </c>
      <c r="D414" s="5" t="s">
        <v>193</v>
      </c>
      <c r="E414" s="5">
        <v>24176</v>
      </c>
      <c r="F414" s="10" t="s">
        <v>194</v>
      </c>
    </row>
    <row r="415" spans="1:6" x14ac:dyDescent="0.2">
      <c r="A415" t="s">
        <v>155</v>
      </c>
      <c r="B415" s="4" t="s">
        <v>152</v>
      </c>
      <c r="C415" s="5" t="s">
        <v>153</v>
      </c>
      <c r="D415" s="5" t="s">
        <v>191</v>
      </c>
      <c r="E415" s="5">
        <v>242</v>
      </c>
      <c r="F415" s="10" t="s">
        <v>192</v>
      </c>
    </row>
    <row r="416" spans="1:6" x14ac:dyDescent="0.2">
      <c r="A416" t="s">
        <v>155</v>
      </c>
      <c r="B416" s="4" t="s">
        <v>152</v>
      </c>
      <c r="C416" s="5" t="s">
        <v>153</v>
      </c>
      <c r="D416" s="5" t="s">
        <v>189</v>
      </c>
      <c r="E416" s="5">
        <v>9475</v>
      </c>
      <c r="F416" s="10" t="s">
        <v>190</v>
      </c>
    </row>
    <row r="417" spans="1:6" x14ac:dyDescent="0.2">
      <c r="A417" t="s">
        <v>155</v>
      </c>
      <c r="B417" s="4" t="s">
        <v>152</v>
      </c>
      <c r="C417" s="5" t="s">
        <v>153</v>
      </c>
      <c r="D417" s="5" t="s">
        <v>187</v>
      </c>
      <c r="E417" s="5">
        <v>8407</v>
      </c>
      <c r="F417" s="10" t="s">
        <v>188</v>
      </c>
    </row>
    <row r="418" spans="1:6" x14ac:dyDescent="0.2">
      <c r="A418" t="s">
        <v>155</v>
      </c>
      <c r="B418" s="4" t="s">
        <v>152</v>
      </c>
      <c r="C418" s="5" t="s">
        <v>153</v>
      </c>
      <c r="D418" s="5" t="s">
        <v>185</v>
      </c>
      <c r="E418" s="5">
        <v>1308</v>
      </c>
      <c r="F418" s="10" t="s">
        <v>186</v>
      </c>
    </row>
    <row r="419" spans="1:6" x14ac:dyDescent="0.2">
      <c r="A419" t="s">
        <v>155</v>
      </c>
      <c r="B419" s="4" t="s">
        <v>152</v>
      </c>
      <c r="C419" s="5" t="s">
        <v>153</v>
      </c>
      <c r="D419" s="5" t="s">
        <v>183</v>
      </c>
      <c r="E419" s="5">
        <v>3000</v>
      </c>
      <c r="F419" s="10" t="s">
        <v>184</v>
      </c>
    </row>
    <row r="420" spans="1:6" x14ac:dyDescent="0.2">
      <c r="A420" t="s">
        <v>155</v>
      </c>
      <c r="B420" s="4" t="s">
        <v>152</v>
      </c>
      <c r="C420" s="5" t="s">
        <v>153</v>
      </c>
      <c r="D420" s="5" t="s">
        <v>181</v>
      </c>
      <c r="E420" s="5">
        <v>1185</v>
      </c>
      <c r="F420" s="10" t="s">
        <v>182</v>
      </c>
    </row>
    <row r="421" spans="1:6" x14ac:dyDescent="0.2">
      <c r="A421" t="s">
        <v>155</v>
      </c>
      <c r="B421" s="4" t="s">
        <v>152</v>
      </c>
      <c r="C421" s="5" t="s">
        <v>153</v>
      </c>
      <c r="D421" s="5" t="s">
        <v>179</v>
      </c>
      <c r="E421" s="5">
        <v>10966</v>
      </c>
      <c r="F421" s="10" t="s">
        <v>180</v>
      </c>
    </row>
    <row r="422" spans="1:6" x14ac:dyDescent="0.2">
      <c r="A422" t="s">
        <v>155</v>
      </c>
      <c r="B422" s="4" t="s">
        <v>152</v>
      </c>
      <c r="C422" s="5" t="s">
        <v>153</v>
      </c>
      <c r="D422" s="5" t="s">
        <v>177</v>
      </c>
      <c r="E422" s="5">
        <v>7418</v>
      </c>
      <c r="F422" s="10" t="s">
        <v>178</v>
      </c>
    </row>
    <row r="423" spans="1:6" x14ac:dyDescent="0.2">
      <c r="A423" t="s">
        <v>155</v>
      </c>
      <c r="B423" s="4" t="s">
        <v>152</v>
      </c>
      <c r="C423" s="5" t="s">
        <v>153</v>
      </c>
      <c r="D423" s="5" t="s">
        <v>175</v>
      </c>
      <c r="E423" s="5">
        <v>6435</v>
      </c>
      <c r="F423" s="10" t="s">
        <v>176</v>
      </c>
    </row>
    <row r="424" spans="1:6" x14ac:dyDescent="0.2">
      <c r="A424" t="s">
        <v>155</v>
      </c>
      <c r="B424" s="4" t="s">
        <v>152</v>
      </c>
      <c r="C424" s="5" t="s">
        <v>153</v>
      </c>
      <c r="D424" s="5" t="s">
        <v>173</v>
      </c>
      <c r="E424" s="5">
        <v>968</v>
      </c>
      <c r="F424" s="10" t="s">
        <v>174</v>
      </c>
    </row>
    <row r="425" spans="1:6" x14ac:dyDescent="0.2">
      <c r="A425" t="s">
        <v>155</v>
      </c>
      <c r="B425" s="4" t="s">
        <v>152</v>
      </c>
      <c r="C425" s="5" t="s">
        <v>153</v>
      </c>
      <c r="D425" s="5" t="s">
        <v>171</v>
      </c>
      <c r="E425" s="5">
        <v>5080</v>
      </c>
      <c r="F425" s="10" t="s">
        <v>172</v>
      </c>
    </row>
    <row r="426" spans="1:6" x14ac:dyDescent="0.2">
      <c r="A426" t="s">
        <v>155</v>
      </c>
      <c r="B426" s="4" t="s">
        <v>152</v>
      </c>
      <c r="C426" s="5" t="s">
        <v>153</v>
      </c>
      <c r="D426" s="5" t="s">
        <v>169</v>
      </c>
      <c r="E426" s="5">
        <v>1142</v>
      </c>
      <c r="F426" s="10" t="s">
        <v>170</v>
      </c>
    </row>
    <row r="427" spans="1:6" x14ac:dyDescent="0.2">
      <c r="A427" t="s">
        <v>155</v>
      </c>
      <c r="B427" s="4" t="s">
        <v>152</v>
      </c>
      <c r="C427" s="5" t="s">
        <v>153</v>
      </c>
      <c r="D427" s="5" t="s">
        <v>167</v>
      </c>
      <c r="E427" s="5">
        <v>1669</v>
      </c>
      <c r="F427" s="10" t="s">
        <v>168</v>
      </c>
    </row>
    <row r="428" spans="1:6" x14ac:dyDescent="0.2">
      <c r="A428" t="s">
        <v>155</v>
      </c>
      <c r="B428" s="4" t="s">
        <v>152</v>
      </c>
      <c r="C428" s="5" t="s">
        <v>153</v>
      </c>
      <c r="D428" s="5" t="s">
        <v>165</v>
      </c>
      <c r="E428" s="5">
        <v>3225</v>
      </c>
      <c r="F428" s="10" t="s">
        <v>166</v>
      </c>
    </row>
    <row r="429" spans="1:6" x14ac:dyDescent="0.2">
      <c r="A429" t="s">
        <v>155</v>
      </c>
      <c r="B429" s="4" t="s">
        <v>152</v>
      </c>
      <c r="C429" s="5" t="s">
        <v>153</v>
      </c>
      <c r="D429" s="5" t="s">
        <v>163</v>
      </c>
      <c r="E429" s="5">
        <v>4999</v>
      </c>
      <c r="F429" s="10" t="s">
        <v>164</v>
      </c>
    </row>
    <row r="430" spans="1:6" x14ac:dyDescent="0.2">
      <c r="A430" t="s">
        <v>155</v>
      </c>
      <c r="B430" s="4" t="s">
        <v>152</v>
      </c>
      <c r="C430" s="5" t="s">
        <v>153</v>
      </c>
      <c r="D430" s="5" t="s">
        <v>161</v>
      </c>
      <c r="E430" s="5">
        <v>7580</v>
      </c>
      <c r="F430" s="10" t="s">
        <v>162</v>
      </c>
    </row>
    <row r="431" spans="1:6" x14ac:dyDescent="0.2">
      <c r="A431" t="s">
        <v>155</v>
      </c>
      <c r="B431" s="4" t="s">
        <v>152</v>
      </c>
      <c r="C431" s="5" t="s">
        <v>153</v>
      </c>
      <c r="D431" s="5" t="s">
        <v>159</v>
      </c>
      <c r="E431" s="5">
        <v>6491</v>
      </c>
      <c r="F431" s="10" t="s">
        <v>160</v>
      </c>
    </row>
    <row r="432" spans="1:6" x14ac:dyDescent="0.2">
      <c r="A432" t="s">
        <v>155</v>
      </c>
      <c r="B432" s="4" t="s">
        <v>152</v>
      </c>
      <c r="C432" s="5" t="s">
        <v>153</v>
      </c>
      <c r="D432" s="5" t="s">
        <v>157</v>
      </c>
      <c r="E432" s="5">
        <v>4838</v>
      </c>
      <c r="F432" s="10" t="s">
        <v>158</v>
      </c>
    </row>
    <row r="433" spans="1:6" x14ac:dyDescent="0.2">
      <c r="A433" t="s">
        <v>155</v>
      </c>
      <c r="B433" s="6" t="s">
        <v>152</v>
      </c>
      <c r="C433" s="7" t="s">
        <v>153</v>
      </c>
      <c r="D433" s="7" t="s">
        <v>154</v>
      </c>
      <c r="E433" s="7">
        <v>21513</v>
      </c>
      <c r="F433" s="11" t="s">
        <v>156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F3EC-F4D6-5F41-AECA-A6A39C0F5C7F}">
  <dimension ref="A3:G12"/>
  <sheetViews>
    <sheetView workbookViewId="0">
      <selection activeCell="H11" sqref="H11"/>
    </sheetView>
  </sheetViews>
  <sheetFormatPr baseColWidth="10" defaultRowHeight="16" x14ac:dyDescent="0.2"/>
  <cols>
    <col min="1" max="1" width="36.33203125" bestFit="1" customWidth="1"/>
    <col min="2" max="2" width="20.5" bestFit="1" customWidth="1"/>
    <col min="3" max="3" width="12.5" bestFit="1" customWidth="1"/>
    <col min="4" max="4" width="18.6640625" bestFit="1" customWidth="1"/>
    <col min="5" max="5" width="17.33203125" bestFit="1" customWidth="1"/>
    <col min="6" max="6" width="11.33203125" bestFit="1" customWidth="1"/>
  </cols>
  <sheetData>
    <row r="3" spans="1:7" ht="27" x14ac:dyDescent="0.35">
      <c r="A3" s="12" t="s">
        <v>777</v>
      </c>
      <c r="B3" s="1" t="s">
        <v>778</v>
      </c>
    </row>
    <row r="4" spans="1:7" x14ac:dyDescent="0.2">
      <c r="A4" s="1" t="s">
        <v>779</v>
      </c>
      <c r="B4" t="s">
        <v>3</v>
      </c>
      <c r="C4" t="s">
        <v>155</v>
      </c>
      <c r="D4" t="s">
        <v>274</v>
      </c>
      <c r="E4" t="s">
        <v>198</v>
      </c>
      <c r="F4" t="s">
        <v>771</v>
      </c>
      <c r="G4" s="16" t="s">
        <v>786</v>
      </c>
    </row>
    <row r="5" spans="1:7" x14ac:dyDescent="0.2">
      <c r="A5" s="2" t="s">
        <v>152</v>
      </c>
      <c r="B5" s="3"/>
      <c r="C5" s="3">
        <v>20</v>
      </c>
      <c r="D5" s="3"/>
      <c r="E5" s="3"/>
      <c r="F5" s="3">
        <v>20</v>
      </c>
      <c r="G5" s="14">
        <f>GETPIVOTDATA("Название продукта",$A$3,"Название компании","Рост-Холдинг")/GETPIVOTDATA("Название продукта",$A$3)</f>
        <v>4.6296296296296294E-2</v>
      </c>
    </row>
    <row r="6" spans="1:7" x14ac:dyDescent="0.2">
      <c r="A6" s="2" t="s">
        <v>339</v>
      </c>
      <c r="B6" s="3"/>
      <c r="C6" s="3"/>
      <c r="D6" s="3"/>
      <c r="E6" s="3">
        <v>17</v>
      </c>
      <c r="F6" s="3">
        <v>17</v>
      </c>
      <c r="G6" s="14">
        <f>GETPIVOTDATA("Название продукта",$A$3,"Название компании","Русэлпром")/GETPIVOTDATA("Название продукта",$A$3)</f>
        <v>3.9351851851851853E-2</v>
      </c>
    </row>
    <row r="7" spans="1:7" x14ac:dyDescent="0.2">
      <c r="A7" s="2" t="s">
        <v>195</v>
      </c>
      <c r="B7" s="3"/>
      <c r="C7" s="3"/>
      <c r="D7" s="3"/>
      <c r="E7" s="3">
        <v>40</v>
      </c>
      <c r="F7" s="3">
        <v>40</v>
      </c>
      <c r="G7" s="14">
        <f>GETPIVOTDATA("Название продукта",$A$3,"Название компании","СЗЭМО")/GETPIVOTDATA("Название продукта",$A$3)</f>
        <v>9.2592592592592587E-2</v>
      </c>
    </row>
    <row r="8" spans="1:7" x14ac:dyDescent="0.2">
      <c r="A8" s="2" t="s">
        <v>271</v>
      </c>
      <c r="B8" s="3"/>
      <c r="C8" s="3"/>
      <c r="D8" s="3">
        <v>17</v>
      </c>
      <c r="E8" s="3"/>
      <c r="F8" s="3">
        <v>17</v>
      </c>
      <c r="G8" s="14">
        <f>GETPIVOTDATA("Название продукта",$A$3,"Название компании","Теплоприбор")/GETPIVOTDATA("Название продукта",$A$3)</f>
        <v>3.9351851851851853E-2</v>
      </c>
    </row>
    <row r="9" spans="1:7" x14ac:dyDescent="0.2">
      <c r="A9" s="2" t="s">
        <v>374</v>
      </c>
      <c r="B9" s="3"/>
      <c r="C9" s="3"/>
      <c r="D9" s="3"/>
      <c r="E9" s="3">
        <v>198</v>
      </c>
      <c r="F9" s="3">
        <v>198</v>
      </c>
      <c r="G9" s="14">
        <f>GETPIVOTDATA("Название продукта",$A$3,"Название компании","Элком")/GETPIVOTDATA("Название продукта",$A$3)</f>
        <v>0.45833333333333331</v>
      </c>
    </row>
    <row r="10" spans="1:7" x14ac:dyDescent="0.2">
      <c r="A10" s="2" t="s">
        <v>0</v>
      </c>
      <c r="B10" s="3">
        <v>116</v>
      </c>
      <c r="C10" s="3"/>
      <c r="D10" s="3"/>
      <c r="E10" s="3"/>
      <c r="F10" s="3">
        <v>116</v>
      </c>
      <c r="G10" s="14">
        <f>GETPIVOTDATA("Название продукта",$A$3,"Название компании","Aquario")/GETPIVOTDATA("Название продукта",$A$3)</f>
        <v>0.26851851851851855</v>
      </c>
    </row>
    <row r="11" spans="1:7" x14ac:dyDescent="0.2">
      <c r="A11" s="2" t="s">
        <v>298</v>
      </c>
      <c r="B11" s="3"/>
      <c r="C11" s="3"/>
      <c r="D11" s="3">
        <v>24</v>
      </c>
      <c r="E11" s="3"/>
      <c r="F11" s="3">
        <v>24</v>
      </c>
      <c r="G11" s="14">
        <f>GETPIVOTDATA("Название продукта",$A$3,"Название компании","Tim-Zeissler")/GETPIVOTDATA("Название продукта",$A$3)</f>
        <v>5.5555555555555552E-2</v>
      </c>
    </row>
    <row r="12" spans="1:7" x14ac:dyDescent="0.2">
      <c r="A12" s="2" t="s">
        <v>771</v>
      </c>
      <c r="B12" s="3">
        <v>116</v>
      </c>
      <c r="C12" s="3">
        <v>20</v>
      </c>
      <c r="D12" s="3">
        <v>41</v>
      </c>
      <c r="E12" s="3">
        <v>255</v>
      </c>
      <c r="F12" s="3">
        <v>432</v>
      </c>
      <c r="G12">
        <f>SUM(G5:G11)</f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4F63-3A60-9440-B946-B28176C44354}">
  <dimension ref="A2:E21"/>
  <sheetViews>
    <sheetView workbookViewId="0">
      <selection activeCell="E8" sqref="E8"/>
    </sheetView>
  </sheetViews>
  <sheetFormatPr baseColWidth="10" defaultRowHeight="16" x14ac:dyDescent="0.2"/>
  <cols>
    <col min="1" max="1" width="17.83203125" bestFit="1" customWidth="1"/>
    <col min="2" max="2" width="30.83203125" bestFit="1" customWidth="1"/>
    <col min="3" max="3" width="31.5" bestFit="1" customWidth="1"/>
    <col min="4" max="4" width="32.33203125" bestFit="1" customWidth="1"/>
  </cols>
  <sheetData>
    <row r="2" spans="1:5" ht="27" x14ac:dyDescent="0.35">
      <c r="A2" s="13" t="s">
        <v>784</v>
      </c>
    </row>
    <row r="3" spans="1:5" x14ac:dyDescent="0.2">
      <c r="A3" s="1" t="s">
        <v>778</v>
      </c>
      <c r="B3" t="s">
        <v>780</v>
      </c>
      <c r="C3" t="s">
        <v>781</v>
      </c>
      <c r="D3" t="s">
        <v>782</v>
      </c>
    </row>
    <row r="4" spans="1:5" x14ac:dyDescent="0.2">
      <c r="A4" s="2" t="s">
        <v>3</v>
      </c>
      <c r="B4" s="15">
        <v>29664.258620689656</v>
      </c>
      <c r="C4" s="15">
        <v>5265</v>
      </c>
      <c r="D4" s="15">
        <v>149082</v>
      </c>
      <c r="E4">
        <f>GETPIVOTDATA("Максимальная цена за шт,  RUB",$A$3,"Категория товаров","Насосы")/GETPIVOTDATA("Минимальная цена за шт,  RUB",$A$3,"Категория товаров","Насосы")</f>
        <v>28.315669515669516</v>
      </c>
    </row>
    <row r="5" spans="1:5" x14ac:dyDescent="0.2">
      <c r="A5" s="2" t="s">
        <v>155</v>
      </c>
      <c r="B5" s="15">
        <v>6505.85</v>
      </c>
      <c r="C5" s="15">
        <v>242</v>
      </c>
      <c r="D5" s="15">
        <v>24176</v>
      </c>
      <c r="E5">
        <f>GETPIVOTDATA("Максимальная цена за шт,  RUB",$A$3,"Категория товаров","Подшипники")/GETPIVOTDATA("Минимальная цена за шт,  RUB",$A$3,"Категория товаров","Подшипники")</f>
        <v>99.900826446280988</v>
      </c>
    </row>
    <row r="6" spans="1:5" x14ac:dyDescent="0.2">
      <c r="A6" s="2" t="s">
        <v>274</v>
      </c>
      <c r="B6" s="15">
        <v>8978.4634146341468</v>
      </c>
      <c r="C6" s="15">
        <v>64</v>
      </c>
      <c r="D6" s="15">
        <v>83935</v>
      </c>
      <c r="E6">
        <f>GETPIVOTDATA("Максимальная цена за шт,  RUB",$A$3,"Категория товаров","Фильтры (сетчатые)")/GETPIVOTDATA("Минимальная цена за шт,  RUB",$A$3,"Категория товаров","Фильтры (сетчатые)")</f>
        <v>1311.484375</v>
      </c>
    </row>
    <row r="7" spans="1:5" x14ac:dyDescent="0.2">
      <c r="A7" s="2" t="s">
        <v>198</v>
      </c>
      <c r="B7" s="15">
        <v>261565.52917647068</v>
      </c>
      <c r="C7" s="15">
        <v>1793.6</v>
      </c>
      <c r="D7" s="15">
        <v>3716100</v>
      </c>
      <c r="E7">
        <f>GETPIVOTDATA("Максимальная цена за шт,  RUB",$A$3,"Категория товаров","Электродвигатели")/GETPIVOTDATA("Минимальная цена за шт,  RUB",$A$3,"Категория товаров","Электродвигатели")</f>
        <v>2071.8666369313114</v>
      </c>
    </row>
    <row r="8" spans="1:5" x14ac:dyDescent="0.2">
      <c r="A8" s="2" t="s">
        <v>771</v>
      </c>
      <c r="B8" s="15">
        <v>163515.04152777779</v>
      </c>
      <c r="C8" s="15">
        <v>64</v>
      </c>
      <c r="D8" s="15">
        <v>3716100</v>
      </c>
    </row>
    <row r="18" spans="1:2" x14ac:dyDescent="0.2">
      <c r="A18" s="2" t="s">
        <v>3</v>
      </c>
      <c r="B18" s="15">
        <v>29664.258620689656</v>
      </c>
    </row>
    <row r="19" spans="1:2" x14ac:dyDescent="0.2">
      <c r="A19" s="2" t="s">
        <v>155</v>
      </c>
      <c r="B19" s="15">
        <v>6505.85</v>
      </c>
    </row>
    <row r="20" spans="1:2" x14ac:dyDescent="0.2">
      <c r="A20" s="2" t="s">
        <v>274</v>
      </c>
      <c r="B20" s="15">
        <v>8978.4634146341468</v>
      </c>
    </row>
    <row r="21" spans="1:2" x14ac:dyDescent="0.2">
      <c r="A21" s="2" t="s">
        <v>198</v>
      </c>
      <c r="B21" s="15">
        <v>261565.52917647068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54BF-76AA-5B42-A4CD-5A3942FAB58E}">
  <dimension ref="A2:B9"/>
  <sheetViews>
    <sheetView workbookViewId="0">
      <selection activeCell="E13" sqref="E13"/>
    </sheetView>
  </sheetViews>
  <sheetFormatPr baseColWidth="10" defaultRowHeight="16" x14ac:dyDescent="0.2"/>
  <cols>
    <col min="1" max="1" width="16.83203125" bestFit="1" customWidth="1"/>
    <col min="2" max="2" width="23" bestFit="1" customWidth="1"/>
  </cols>
  <sheetData>
    <row r="2" spans="1:2" ht="27" x14ac:dyDescent="0.35">
      <c r="A2" s="13" t="s">
        <v>785</v>
      </c>
    </row>
    <row r="3" spans="1:2" x14ac:dyDescent="0.2">
      <c r="A3" s="1" t="s">
        <v>776</v>
      </c>
      <c r="B3" t="s">
        <v>198</v>
      </c>
    </row>
    <row r="5" spans="1:2" x14ac:dyDescent="0.2">
      <c r="A5" s="1" t="s">
        <v>779</v>
      </c>
      <c r="B5" t="s">
        <v>783</v>
      </c>
    </row>
    <row r="6" spans="1:2" x14ac:dyDescent="0.2">
      <c r="A6" s="2" t="s">
        <v>339</v>
      </c>
      <c r="B6" s="15">
        <v>2544676.4705882352</v>
      </c>
    </row>
    <row r="7" spans="1:2" x14ac:dyDescent="0.2">
      <c r="A7" s="2" t="s">
        <v>195</v>
      </c>
      <c r="B7" s="15">
        <v>50320.766749999995</v>
      </c>
    </row>
    <row r="8" spans="1:2" x14ac:dyDescent="0.2">
      <c r="A8" s="2" t="s">
        <v>374</v>
      </c>
      <c r="B8" s="15">
        <v>108216.56196969698</v>
      </c>
    </row>
    <row r="9" spans="1:2" x14ac:dyDescent="0.2">
      <c r="A9" s="2" t="s">
        <v>771</v>
      </c>
      <c r="B9" s="15">
        <v>261565.52917647071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Общая таблица</vt:lpstr>
      <vt:lpstr>Емкость предложения</vt:lpstr>
      <vt:lpstr>Уровень цен по категориям</vt:lpstr>
      <vt:lpstr>Сравнение компаний внутри катег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dcterms:created xsi:type="dcterms:W3CDTF">2025-11-30T11:57:31Z</dcterms:created>
  <dcterms:modified xsi:type="dcterms:W3CDTF">2025-11-30T16:23:07Z</dcterms:modified>
</cp:coreProperties>
</file>